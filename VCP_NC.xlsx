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Desktop\JPSP_ESALQ\experimentos_soja\season2425\"/>
    </mc:Choice>
  </mc:AlternateContent>
  <xr:revisionPtr revIDLastSave="0" documentId="13_ncr:1_{A4C8B8D8-1691-4532-9B48-8B4CBC0A62B4}" xr6:coauthVersionLast="47" xr6:coauthVersionMax="47" xr10:uidLastSave="{00000000-0000-0000-0000-000000000000}"/>
  <bookViews>
    <workbookView xWindow="-108" yWindow="-108" windowWidth="23256" windowHeight="12456" xr2:uid="{6BAB5014-43F0-4641-963F-0F68E5B05F34}"/>
  </bookViews>
  <sheets>
    <sheet name="VCU_ANHUMAS_NOCONTROL_24_25" sheetId="1" r:id="rId1"/>
  </sheets>
  <definedNames>
    <definedName name="_xlnm._FilterDatabase" localSheetId="0" hidden="1">VCU_ANHUMAS_NOCONTROL_24_25!$A$1:$AL$91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2" i="1"/>
  <c r="AA14" i="1"/>
  <c r="AA64" i="1"/>
  <c r="AA55" i="1"/>
  <c r="AA25" i="1"/>
  <c r="AA33" i="1"/>
  <c r="AA41" i="1"/>
  <c r="AA16" i="1"/>
  <c r="AA30" i="1"/>
  <c r="AA47" i="1"/>
  <c r="AA3" i="1"/>
  <c r="AA56" i="1"/>
  <c r="AA46" i="1"/>
  <c r="AA44" i="1"/>
  <c r="AA34" i="1"/>
  <c r="AA84" i="1"/>
  <c r="AA71" i="1"/>
  <c r="AA70" i="1"/>
  <c r="AA29" i="1"/>
  <c r="AA37" i="1"/>
  <c r="AA11" i="1"/>
  <c r="AA35" i="1"/>
  <c r="AA85" i="1"/>
  <c r="AA51" i="1"/>
  <c r="AA66" i="1"/>
  <c r="AA90" i="1"/>
  <c r="AA38" i="1"/>
  <c r="AA13" i="1"/>
  <c r="AA8" i="1"/>
  <c r="AA75" i="1"/>
  <c r="AA40" i="1"/>
  <c r="AA61" i="1"/>
  <c r="AA27" i="1"/>
  <c r="AA20" i="1"/>
  <c r="AA91" i="1"/>
  <c r="AA82" i="1"/>
  <c r="AA52" i="1"/>
  <c r="AA39" i="1"/>
  <c r="AA69" i="1"/>
  <c r="AA63" i="1"/>
  <c r="AA76" i="1"/>
  <c r="AA18" i="1"/>
  <c r="AA43" i="1"/>
  <c r="AA7" i="1"/>
  <c r="AA24" i="1"/>
  <c r="AA60" i="1"/>
  <c r="AA83" i="1"/>
  <c r="AA32" i="1"/>
  <c r="AA53" i="1"/>
  <c r="AA45" i="1"/>
  <c r="AA21" i="1"/>
  <c r="AA22" i="1"/>
  <c r="AA15" i="1"/>
  <c r="AA80" i="1"/>
  <c r="AA68" i="1"/>
  <c r="AA12" i="1"/>
  <c r="AA72" i="1"/>
  <c r="AA78" i="1"/>
  <c r="AA26" i="1"/>
  <c r="AA4" i="1"/>
  <c r="AA49" i="1"/>
  <c r="AA54" i="1"/>
  <c r="AA19" i="1"/>
  <c r="AA36" i="1"/>
  <c r="AA73" i="1"/>
  <c r="AA81" i="1"/>
  <c r="AA86" i="1"/>
  <c r="AA58" i="1"/>
  <c r="AA23" i="1"/>
  <c r="AA42" i="1"/>
  <c r="AA10" i="1"/>
  <c r="AA6" i="1"/>
  <c r="AA87" i="1"/>
  <c r="AA2" i="1"/>
  <c r="AA59" i="1"/>
  <c r="AA57" i="1"/>
  <c r="AA9" i="1"/>
  <c r="AA31" i="1"/>
  <c r="AA74" i="1"/>
  <c r="AA79" i="1"/>
  <c r="AA17" i="1"/>
  <c r="AA50" i="1"/>
  <c r="AA89" i="1"/>
  <c r="AA67" i="1"/>
  <c r="AA5" i="1"/>
  <c r="AA77" i="1"/>
  <c r="AA65" i="1"/>
  <c r="AA48" i="1"/>
  <c r="AA88" i="1"/>
  <c r="AA28" i="1"/>
  <c r="AA62" i="1"/>
  <c r="AB62" i="1"/>
  <c r="AE62" i="1"/>
  <c r="AE14" i="1"/>
  <c r="AE64" i="1"/>
  <c r="AE55" i="1"/>
  <c r="AE25" i="1"/>
  <c r="AE33" i="1"/>
  <c r="AE41" i="1"/>
  <c r="AE16" i="1"/>
  <c r="AE30" i="1"/>
  <c r="AE47" i="1"/>
  <c r="AE3" i="1"/>
  <c r="AE56" i="1"/>
  <c r="AE46" i="1"/>
  <c r="AE44" i="1"/>
  <c r="AE34" i="1"/>
  <c r="AE84" i="1"/>
  <c r="AE71" i="1"/>
  <c r="AE70" i="1"/>
  <c r="AE29" i="1"/>
  <c r="AE37" i="1"/>
  <c r="AE11" i="1"/>
  <c r="AE35" i="1"/>
  <c r="AE85" i="1"/>
  <c r="AE51" i="1"/>
  <c r="AE66" i="1"/>
  <c r="AE90" i="1"/>
  <c r="AE38" i="1"/>
  <c r="AE13" i="1"/>
  <c r="AE8" i="1"/>
  <c r="AE75" i="1"/>
  <c r="AE40" i="1"/>
  <c r="AE61" i="1"/>
  <c r="AE27" i="1"/>
  <c r="AE20" i="1"/>
  <c r="AE91" i="1"/>
  <c r="AE82" i="1"/>
  <c r="AE52" i="1"/>
  <c r="AE39" i="1"/>
  <c r="AE69" i="1"/>
  <c r="AE63" i="1"/>
  <c r="AE76" i="1"/>
  <c r="AE18" i="1"/>
  <c r="AE43" i="1"/>
  <c r="AE7" i="1"/>
  <c r="AE24" i="1"/>
  <c r="AE60" i="1"/>
  <c r="AE83" i="1"/>
  <c r="AE32" i="1"/>
  <c r="AE53" i="1"/>
  <c r="AE45" i="1"/>
  <c r="AE21" i="1"/>
  <c r="AE22" i="1"/>
  <c r="AE15" i="1"/>
  <c r="AE80" i="1"/>
  <c r="AE68" i="1"/>
  <c r="AE12" i="1"/>
  <c r="AE72" i="1"/>
  <c r="AE78" i="1"/>
  <c r="AE26" i="1"/>
  <c r="AE4" i="1"/>
  <c r="AE49" i="1"/>
  <c r="AE54" i="1"/>
  <c r="AE19" i="1"/>
  <c r="AE36" i="1"/>
  <c r="AE73" i="1"/>
  <c r="AE81" i="1"/>
  <c r="AE86" i="1"/>
  <c r="AE58" i="1"/>
  <c r="AE23" i="1"/>
  <c r="AE42" i="1"/>
  <c r="AE10" i="1"/>
  <c r="AE6" i="1"/>
  <c r="AE87" i="1"/>
  <c r="AE2" i="1"/>
  <c r="AE59" i="1"/>
  <c r="AE57" i="1"/>
  <c r="AE9" i="1"/>
  <c r="AE31" i="1"/>
  <c r="AE74" i="1"/>
  <c r="AE79" i="1"/>
  <c r="AE17" i="1"/>
  <c r="AE50" i="1"/>
  <c r="AE89" i="1"/>
  <c r="AE67" i="1"/>
  <c r="AE5" i="1"/>
  <c r="AE77" i="1"/>
  <c r="AE65" i="1"/>
  <c r="AE48" i="1"/>
  <c r="AE88" i="1"/>
  <c r="AE28" i="1"/>
  <c r="AB14" i="1"/>
  <c r="AC14" i="1" s="1"/>
  <c r="AB64" i="1"/>
  <c r="AC64" i="1" s="1"/>
  <c r="AB55" i="1"/>
  <c r="AC55" i="1" s="1"/>
  <c r="AB25" i="1"/>
  <c r="AC25" i="1" s="1"/>
  <c r="AB33" i="1"/>
  <c r="AC33" i="1" s="1"/>
  <c r="AB41" i="1"/>
  <c r="AC41" i="1" s="1"/>
  <c r="AB16" i="1"/>
  <c r="AC16" i="1" s="1"/>
  <c r="AB30" i="1"/>
  <c r="AC30" i="1" s="1"/>
  <c r="AB47" i="1"/>
  <c r="AC47" i="1" s="1"/>
  <c r="AB3" i="1"/>
  <c r="AC3" i="1" s="1"/>
  <c r="AB56" i="1"/>
  <c r="AC56" i="1" s="1"/>
  <c r="AB46" i="1"/>
  <c r="AC46" i="1" s="1"/>
  <c r="AB44" i="1"/>
  <c r="AC44" i="1" s="1"/>
  <c r="AB34" i="1"/>
  <c r="AC34" i="1" s="1"/>
  <c r="AB84" i="1"/>
  <c r="AC84" i="1" s="1"/>
  <c r="AB71" i="1"/>
  <c r="AC71" i="1" s="1"/>
  <c r="AB70" i="1"/>
  <c r="AC70" i="1" s="1"/>
  <c r="AB29" i="1"/>
  <c r="AC29" i="1" s="1"/>
  <c r="AB37" i="1"/>
  <c r="AC37" i="1" s="1"/>
  <c r="AB11" i="1"/>
  <c r="AC11" i="1" s="1"/>
  <c r="AB35" i="1"/>
  <c r="AC35" i="1" s="1"/>
  <c r="AB85" i="1"/>
  <c r="AC85" i="1" s="1"/>
  <c r="AB51" i="1"/>
  <c r="AC51" i="1" s="1"/>
  <c r="AB66" i="1"/>
  <c r="AC66" i="1" s="1"/>
  <c r="AB90" i="1"/>
  <c r="AC90" i="1" s="1"/>
  <c r="AB38" i="1"/>
  <c r="AC38" i="1" s="1"/>
  <c r="AB13" i="1"/>
  <c r="AC13" i="1" s="1"/>
  <c r="AB8" i="1"/>
  <c r="AC8" i="1" s="1"/>
  <c r="AB75" i="1"/>
  <c r="AC75" i="1" s="1"/>
  <c r="AB40" i="1"/>
  <c r="AC40" i="1" s="1"/>
  <c r="AB61" i="1"/>
  <c r="AC61" i="1" s="1"/>
  <c r="AB27" i="1"/>
  <c r="AC27" i="1" s="1"/>
  <c r="AB20" i="1"/>
  <c r="AC20" i="1" s="1"/>
  <c r="AB91" i="1"/>
  <c r="AC91" i="1" s="1"/>
  <c r="AB82" i="1"/>
  <c r="AC82" i="1" s="1"/>
  <c r="AB52" i="1"/>
  <c r="AC52" i="1" s="1"/>
  <c r="AB39" i="1"/>
  <c r="AC39" i="1" s="1"/>
  <c r="AB69" i="1"/>
  <c r="AC69" i="1" s="1"/>
  <c r="AB63" i="1"/>
  <c r="AC63" i="1" s="1"/>
  <c r="AB76" i="1"/>
  <c r="AC76" i="1" s="1"/>
  <c r="AB18" i="1"/>
  <c r="AC18" i="1" s="1"/>
  <c r="AB43" i="1"/>
  <c r="AC43" i="1" s="1"/>
  <c r="AB7" i="1"/>
  <c r="AC7" i="1" s="1"/>
  <c r="AB24" i="1"/>
  <c r="AC24" i="1" s="1"/>
  <c r="AB60" i="1"/>
  <c r="AC60" i="1" s="1"/>
  <c r="AB83" i="1"/>
  <c r="AC83" i="1" s="1"/>
  <c r="AB32" i="1"/>
  <c r="AC32" i="1" s="1"/>
  <c r="AB53" i="1"/>
  <c r="AC53" i="1" s="1"/>
  <c r="AB45" i="1"/>
  <c r="AC45" i="1" s="1"/>
  <c r="AB21" i="1"/>
  <c r="AC21" i="1" s="1"/>
  <c r="AB22" i="1"/>
  <c r="AC22" i="1" s="1"/>
  <c r="AB15" i="1"/>
  <c r="AC15" i="1" s="1"/>
  <c r="AB80" i="1"/>
  <c r="AC80" i="1" s="1"/>
  <c r="AB68" i="1"/>
  <c r="AC68" i="1" s="1"/>
  <c r="AB12" i="1"/>
  <c r="AC12" i="1" s="1"/>
  <c r="AB72" i="1"/>
  <c r="AC72" i="1" s="1"/>
  <c r="AB78" i="1"/>
  <c r="AC78" i="1" s="1"/>
  <c r="AB26" i="1"/>
  <c r="AC26" i="1" s="1"/>
  <c r="AB4" i="1"/>
  <c r="AH4" i="1" s="1"/>
  <c r="AB49" i="1"/>
  <c r="AC49" i="1" s="1"/>
  <c r="AB54" i="1"/>
  <c r="AC54" i="1" s="1"/>
  <c r="AB19" i="1"/>
  <c r="AC19" i="1" s="1"/>
  <c r="AB36" i="1"/>
  <c r="AC36" i="1" s="1"/>
  <c r="AB73" i="1"/>
  <c r="AC73" i="1" s="1"/>
  <c r="AB81" i="1"/>
  <c r="AC81" i="1" s="1"/>
  <c r="AB86" i="1"/>
  <c r="AC86" i="1" s="1"/>
  <c r="AB58" i="1"/>
  <c r="AC58" i="1" s="1"/>
  <c r="AB23" i="1"/>
  <c r="AC23" i="1" s="1"/>
  <c r="AB42" i="1"/>
  <c r="AC42" i="1" s="1"/>
  <c r="AB10" i="1"/>
  <c r="AC10" i="1" s="1"/>
  <c r="AB6" i="1"/>
  <c r="AC6" i="1" s="1"/>
  <c r="AB87" i="1"/>
  <c r="AC87" i="1" s="1"/>
  <c r="AB2" i="1"/>
  <c r="AB59" i="1"/>
  <c r="AC59" i="1" s="1"/>
  <c r="AB57" i="1"/>
  <c r="AC57" i="1" s="1"/>
  <c r="AB9" i="1"/>
  <c r="AC9" i="1" s="1"/>
  <c r="AB31" i="1"/>
  <c r="AC31" i="1" s="1"/>
  <c r="AB74" i="1"/>
  <c r="AC74" i="1" s="1"/>
  <c r="AB79" i="1"/>
  <c r="AC79" i="1" s="1"/>
  <c r="AB17" i="1"/>
  <c r="AC17" i="1" s="1"/>
  <c r="AB50" i="1"/>
  <c r="AC50" i="1" s="1"/>
  <c r="AB89" i="1"/>
  <c r="AC89" i="1" s="1"/>
  <c r="AB67" i="1"/>
  <c r="AC67" i="1" s="1"/>
  <c r="AB5" i="1"/>
  <c r="AC5" i="1" s="1"/>
  <c r="AB77" i="1"/>
  <c r="AC77" i="1" s="1"/>
  <c r="AB65" i="1"/>
  <c r="AC65" i="1" s="1"/>
  <c r="AB48" i="1"/>
  <c r="AC48" i="1" s="1"/>
  <c r="AB88" i="1"/>
  <c r="AC88" i="1" s="1"/>
  <c r="AB28" i="1"/>
  <c r="AC28" i="1" s="1"/>
  <c r="AC62" i="1"/>
  <c r="AC4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2" i="1"/>
  <c r="AH2" i="1" l="1"/>
  <c r="AH83" i="1"/>
  <c r="AH31" i="1"/>
  <c r="AH87" i="1"/>
  <c r="AH35" i="1"/>
  <c r="AH62" i="1"/>
  <c r="AH75" i="1"/>
  <c r="AH27" i="1"/>
  <c r="AH71" i="1"/>
  <c r="AH23" i="1"/>
  <c r="AH59" i="1"/>
  <c r="AH19" i="1"/>
  <c r="AH47" i="1"/>
  <c r="AH15" i="1"/>
  <c r="AH43" i="1"/>
  <c r="AH11" i="1"/>
  <c r="AH91" i="1"/>
  <c r="AH39" i="1"/>
  <c r="AH3" i="1"/>
  <c r="AH51" i="1"/>
  <c r="AH90" i="1"/>
  <c r="AH82" i="1"/>
  <c r="AH74" i="1"/>
  <c r="AH66" i="1"/>
  <c r="AH58" i="1"/>
  <c r="AH50" i="1"/>
  <c r="AH42" i="1"/>
  <c r="AH34" i="1"/>
  <c r="AH26" i="1"/>
  <c r="AH18" i="1"/>
  <c r="AH10" i="1"/>
  <c r="AH67" i="1"/>
  <c r="AH89" i="1"/>
  <c r="AH81" i="1"/>
  <c r="AH73" i="1"/>
  <c r="AH65" i="1"/>
  <c r="AH57" i="1"/>
  <c r="AH49" i="1"/>
  <c r="AH41" i="1"/>
  <c r="AH33" i="1"/>
  <c r="AH25" i="1"/>
  <c r="AH17" i="1"/>
  <c r="AH9" i="1"/>
  <c r="AH88" i="1"/>
  <c r="AH80" i="1"/>
  <c r="AH72" i="1"/>
  <c r="AH64" i="1"/>
  <c r="AH56" i="1"/>
  <c r="AH48" i="1"/>
  <c r="AH40" i="1"/>
  <c r="AH32" i="1"/>
  <c r="AH24" i="1"/>
  <c r="AH16" i="1"/>
  <c r="AH8" i="1"/>
  <c r="AH79" i="1"/>
  <c r="AH63" i="1"/>
  <c r="AH7" i="1"/>
  <c r="AH86" i="1"/>
  <c r="AH78" i="1"/>
  <c r="AH70" i="1"/>
  <c r="AH54" i="1"/>
  <c r="AH46" i="1"/>
  <c r="AH38" i="1"/>
  <c r="AH30" i="1"/>
  <c r="AH22" i="1"/>
  <c r="AH14" i="1"/>
  <c r="AH6" i="1"/>
  <c r="AH55" i="1"/>
  <c r="AH85" i="1"/>
  <c r="AH77" i="1"/>
  <c r="AH69" i="1"/>
  <c r="AH61" i="1"/>
  <c r="AH53" i="1"/>
  <c r="AH45" i="1"/>
  <c r="AH37" i="1"/>
  <c r="AH29" i="1"/>
  <c r="AH21" i="1"/>
  <c r="AH13" i="1"/>
  <c r="AH5" i="1"/>
  <c r="AH84" i="1"/>
  <c r="AH76" i="1"/>
  <c r="AH68" i="1"/>
  <c r="AH60" i="1"/>
  <c r="AH52" i="1"/>
  <c r="AH44" i="1"/>
  <c r="AH36" i="1"/>
  <c r="AH28" i="1"/>
  <c r="AH20" i="1"/>
  <c r="AH12" i="1"/>
  <c r="AC2" i="1"/>
</calcChain>
</file>

<file path=xl/sharedStrings.xml><?xml version="1.0" encoding="utf-8"?>
<sst xmlns="http://schemas.openxmlformats.org/spreadsheetml/2006/main" count="506" uniqueCount="126">
  <si>
    <t>Row</t>
  </si>
  <si>
    <t>Column</t>
  </si>
  <si>
    <t>Plot</t>
  </si>
  <si>
    <t>Block</t>
  </si>
  <si>
    <t>Genotype</t>
  </si>
  <si>
    <t>Plot_ID</t>
  </si>
  <si>
    <t>Sow</t>
  </si>
  <si>
    <t>Long</t>
  </si>
  <si>
    <t>Lat</t>
  </si>
  <si>
    <t>Flower Color (FC)</t>
  </si>
  <si>
    <t>Date Flowering</t>
  </si>
  <si>
    <t>Number Days To Flowering (NDF)</t>
  </si>
  <si>
    <t>Number Days To R5 (NR5)</t>
  </si>
  <si>
    <t>Number Days To R7 (NR7)</t>
  </si>
  <si>
    <t>Filling Period (PEG)</t>
  </si>
  <si>
    <t>Plant Height At Maturity (APM)</t>
  </si>
  <si>
    <t>Color Of Pubescence On The Main Stain (CB)</t>
  </si>
  <si>
    <t>Pod Color (PC)</t>
  </si>
  <si>
    <t>Lodging (AC)</t>
  </si>
  <si>
    <t xml:space="preserve">Date Maturity </t>
  </si>
  <si>
    <t>Number Days To Maturity (NDM)</t>
  </si>
  <si>
    <t>Agronomic Value (VA)</t>
  </si>
  <si>
    <t>Leaf Retention (FR)</t>
  </si>
  <si>
    <t>Production -Prod (kg)</t>
  </si>
  <si>
    <t>Moisture - M (%)</t>
  </si>
  <si>
    <t>Grain Yield - GY (kg/ha)</t>
  </si>
  <si>
    <t>Grain Yield - GY (t/ha)</t>
  </si>
  <si>
    <t>Thread Color (TC)</t>
  </si>
  <si>
    <t>Intergument Color (IC)</t>
  </si>
  <si>
    <t>Seed Size (SS)</t>
  </si>
  <si>
    <t>Obs</t>
  </si>
  <si>
    <t>LQ  005</t>
  </si>
  <si>
    <t>G05</t>
  </si>
  <si>
    <t>White</t>
  </si>
  <si>
    <t xml:space="preserve">Light Brown </t>
  </si>
  <si>
    <t xml:space="preserve">Dark Brown </t>
  </si>
  <si>
    <t>LQ 008</t>
  </si>
  <si>
    <t>G06</t>
  </si>
  <si>
    <t>Light Gray</t>
  </si>
  <si>
    <t>LQ 018</t>
  </si>
  <si>
    <t>G07</t>
  </si>
  <si>
    <t>Purple</t>
  </si>
  <si>
    <t>Light Brown</t>
  </si>
  <si>
    <t>hastes verdes</t>
  </si>
  <si>
    <t>LQ 198</t>
  </si>
  <si>
    <t>G15</t>
  </si>
  <si>
    <t>6 euch, 3 ninfa</t>
  </si>
  <si>
    <t>RIL 244</t>
  </si>
  <si>
    <t>G28</t>
  </si>
  <si>
    <t xml:space="preserve">Medium Brown </t>
  </si>
  <si>
    <t xml:space="preserve">disturbio? </t>
  </si>
  <si>
    <t>LQ 197</t>
  </si>
  <si>
    <t>G14</t>
  </si>
  <si>
    <t>Gray</t>
  </si>
  <si>
    <t>LQ 175</t>
  </si>
  <si>
    <t>G13</t>
  </si>
  <si>
    <t>T 27-18</t>
  </si>
  <si>
    <t>G29</t>
  </si>
  <si>
    <t>LQ 073</t>
  </si>
  <si>
    <t>G09</t>
  </si>
  <si>
    <t>FIBRA (T)</t>
  </si>
  <si>
    <t>G04</t>
  </si>
  <si>
    <t>LQ 173</t>
  </si>
  <si>
    <t>G11</t>
  </si>
  <si>
    <t>LQ 216</t>
  </si>
  <si>
    <t>G17</t>
  </si>
  <si>
    <t>mistura</t>
  </si>
  <si>
    <t>LQ 155</t>
  </si>
  <si>
    <t>G10</t>
  </si>
  <si>
    <t>3 euchistus, 1 ninfa, 1 lagarta</t>
  </si>
  <si>
    <t>RIL 227</t>
  </si>
  <si>
    <t>G27</t>
  </si>
  <si>
    <t xml:space="preserve">MÃ©dium Brown </t>
  </si>
  <si>
    <t>LQ 239</t>
  </si>
  <si>
    <t>G18</t>
  </si>
  <si>
    <t>RIL 209</t>
  </si>
  <si>
    <t>G26</t>
  </si>
  <si>
    <t>AS 3730 (T)</t>
  </si>
  <si>
    <t>G01</t>
  </si>
  <si>
    <t>USP 190</t>
  </si>
  <si>
    <t>G30</t>
  </si>
  <si>
    <t>RIL 145</t>
  </si>
  <si>
    <t>G25</t>
  </si>
  <si>
    <t>4 euch, 3 ninfa, 2 coleoptero</t>
  </si>
  <si>
    <t>RIL 072</t>
  </si>
  <si>
    <t>G23</t>
  </si>
  <si>
    <t>LQ 174</t>
  </si>
  <si>
    <t>G12</t>
  </si>
  <si>
    <t>LQ 269</t>
  </si>
  <si>
    <t>G21</t>
  </si>
  <si>
    <t>1 euchistus. mais tardia. 2 euchistus</t>
  </si>
  <si>
    <t>RIL 109</t>
  </si>
  <si>
    <t>G24</t>
  </si>
  <si>
    <t xml:space="preserve">mistura </t>
  </si>
  <si>
    <t>BRS 391 (T)</t>
  </si>
  <si>
    <t>G03</t>
  </si>
  <si>
    <t>LQ 050</t>
  </si>
  <si>
    <t>G08</t>
  </si>
  <si>
    <t>BRS 284 (T)</t>
  </si>
  <si>
    <t>G02</t>
  </si>
  <si>
    <t>LQ 250</t>
  </si>
  <si>
    <t>G19</t>
  </si>
  <si>
    <t>NS 6700 (T)</t>
  </si>
  <si>
    <t>G22</t>
  </si>
  <si>
    <t>LQ 215</t>
  </si>
  <si>
    <t>G16</t>
  </si>
  <si>
    <t>LQ 267</t>
  </si>
  <si>
    <t>G20</t>
  </si>
  <si>
    <t>14 ninfa, 2 euch, 1 perc. pred</t>
  </si>
  <si>
    <t>3 euchistus, 1 falsa medideira, 1 ninfa euc, 1 ra , 1 euchistis, 3 ninfas</t>
  </si>
  <si>
    <t>LQ 005</t>
  </si>
  <si>
    <t>7 euch, 6 ninfa, 1 falsa, 1 coleopt, 1 rÃ£</t>
  </si>
  <si>
    <t>2 euchistus, 1 lagarta falsa med</t>
  </si>
  <si>
    <t>bom material</t>
  </si>
  <si>
    <t xml:space="preserve">6 euch, 4 ninfa, </t>
  </si>
  <si>
    <t>precoce</t>
  </si>
  <si>
    <t>mistura. 4 euchistus</t>
  </si>
  <si>
    <t>mistura. 1 euchistus, 1 ninfa</t>
  </si>
  <si>
    <t>5 euch, 13 ninfa, 2 coleopt</t>
  </si>
  <si>
    <t>Plant Height At Flowering (APM)</t>
  </si>
  <si>
    <t>One Hundred Seed Weight (OHSW)</t>
  </si>
  <si>
    <t>One Hundred Seed Weight (oshw)</t>
  </si>
  <si>
    <t>Healthy Seed Weight (hsw)</t>
  </si>
  <si>
    <t>Corrected Production -Prod (kg)</t>
  </si>
  <si>
    <t>Stink Bug Tolerance (TOL%)</t>
  </si>
  <si>
    <t>Healthy Seed Weight (HSW - 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</si>
</sst>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4" fontId="19" fillId="33" borderId="10" xfId="0" applyNumberFormat="1" applyFont="1" applyFill="1" applyBorder="1" applyAlignment="1">
      <alignment horizontal="center" vertical="center"/>
    </xf>
    <xf numFmtId="165" fontId="19" fillId="33" borderId="10" xfId="0" applyNumberFormat="1" applyFont="1" applyFill="1" applyBorder="1" applyAlignment="1">
      <alignment horizontal="center" vertical="center"/>
    </xf>
    <xf numFmtId="2" fontId="19" fillId="33" borderId="10" xfId="0" applyNumberFormat="1" applyFont="1" applyFill="1" applyBorder="1" applyAlignment="1">
      <alignment horizontal="center" vertical="center"/>
    </xf>
    <xf numFmtId="2" fontId="19" fillId="33" borderId="11" xfId="0" applyNumberFormat="1" applyFont="1" applyFill="1" applyBorder="1" applyAlignment="1">
      <alignment horizontal="center" vertical="center"/>
    </xf>
    <xf numFmtId="164" fontId="19" fillId="33" borderId="11" xfId="0" applyNumberFormat="1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14" fontId="19" fillId="34" borderId="10" xfId="0" applyNumberFormat="1" applyFont="1" applyFill="1" applyBorder="1" applyAlignment="1">
      <alignment horizontal="center" vertical="center"/>
    </xf>
    <xf numFmtId="165" fontId="19" fillId="34" borderId="10" xfId="0" applyNumberFormat="1" applyFont="1" applyFill="1" applyBorder="1" applyAlignment="1">
      <alignment horizontal="center" vertical="center"/>
    </xf>
    <xf numFmtId="2" fontId="19" fillId="34" borderId="10" xfId="0" applyNumberFormat="1" applyFont="1" applyFill="1" applyBorder="1" applyAlignment="1">
      <alignment horizontal="center" vertical="center"/>
    </xf>
    <xf numFmtId="164" fontId="19" fillId="34" borderId="11" xfId="0" applyNumberFormat="1" applyFont="1" applyFill="1" applyBorder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9" fontId="19" fillId="33" borderId="10" xfId="42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center" vertical="center"/>
    </xf>
    <xf numFmtId="0" fontId="19" fillId="38" borderId="10" xfId="0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8D49-C18D-462D-9F6D-21FAB11469A6}">
  <dimension ref="A1:AL91"/>
  <sheetViews>
    <sheetView tabSelected="1" zoomScale="86" zoomScaleNormal="86" workbookViewId="0">
      <selection activeCell="A16" sqref="A16"/>
    </sheetView>
  </sheetViews>
  <sheetFormatPr defaultRowHeight="15.6" x14ac:dyDescent="0.3"/>
  <cols>
    <col min="1" max="1" width="7" style="9" customWidth="1"/>
    <col min="2" max="2" width="8.796875" style="9"/>
    <col min="3" max="3" width="8.796875" style="17"/>
    <col min="4" max="4" width="8.796875" style="9"/>
    <col min="5" max="5" width="14.09765625" style="17" bestFit="1" customWidth="1"/>
    <col min="6" max="6" width="8.796875" style="9"/>
    <col min="7" max="7" width="10.09765625" style="9" bestFit="1" customWidth="1"/>
    <col min="8" max="9" width="8.796875" style="9"/>
    <col min="10" max="10" width="7.59765625" style="9" customWidth="1"/>
    <col min="11" max="11" width="13" style="9" bestFit="1" customWidth="1"/>
    <col min="12" max="12" width="13" style="9" customWidth="1"/>
    <col min="13" max="13" width="11.796875" style="9" customWidth="1"/>
    <col min="14" max="14" width="12.19921875" style="9" customWidth="1"/>
    <col min="15" max="15" width="13.19921875" style="9" customWidth="1"/>
    <col min="16" max="16" width="8.296875" style="9" customWidth="1"/>
    <col min="17" max="17" width="12.296875" style="9" customWidth="1"/>
    <col min="18" max="18" width="18" style="9" customWidth="1"/>
    <col min="19" max="19" width="15.59765625" style="9" customWidth="1"/>
    <col min="20" max="20" width="8.796875" style="9"/>
    <col min="21" max="21" width="10.59765625" style="9" customWidth="1"/>
    <col min="22" max="22" width="12.8984375" style="9" customWidth="1"/>
    <col min="23" max="23" width="10.69921875" style="9" customWidth="1"/>
    <col min="24" max="24" width="11" style="9" customWidth="1"/>
    <col min="25" max="25" width="11.09765625" style="9" customWidth="1"/>
    <col min="26" max="27" width="11.296875" style="9" customWidth="1"/>
    <col min="28" max="28" width="11.19921875" style="9" customWidth="1"/>
    <col min="29" max="29" width="8.5" style="9" customWidth="1"/>
    <col min="30" max="31" width="14.09765625" style="9" customWidth="1"/>
    <col min="32" max="33" width="15" style="9" customWidth="1"/>
    <col min="34" max="34" width="12.8984375" style="9" customWidth="1"/>
    <col min="35" max="35" width="10.09765625" style="9" customWidth="1"/>
    <col min="36" max="36" width="15" style="9" customWidth="1"/>
    <col min="37" max="37" width="8.296875" style="9" customWidth="1"/>
    <col min="38" max="38" width="59.8984375" style="9" bestFit="1" customWidth="1"/>
    <col min="39" max="16384" width="8.796875" style="9"/>
  </cols>
  <sheetData>
    <row r="1" spans="1:38" s="1" customFormat="1" ht="78.599999999999994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119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21</v>
      </c>
      <c r="X1" s="19" t="s">
        <v>22</v>
      </c>
      <c r="Y1" s="19" t="s">
        <v>24</v>
      </c>
      <c r="Z1" s="19" t="s">
        <v>23</v>
      </c>
      <c r="AA1" s="19" t="s">
        <v>123</v>
      </c>
      <c r="AB1" s="19" t="s">
        <v>25</v>
      </c>
      <c r="AC1" s="19" t="s">
        <v>26</v>
      </c>
      <c r="AD1" s="19" t="s">
        <v>121</v>
      </c>
      <c r="AE1" s="19" t="s">
        <v>120</v>
      </c>
      <c r="AF1" s="19" t="s">
        <v>122</v>
      </c>
      <c r="AG1" s="19" t="s">
        <v>125</v>
      </c>
      <c r="AH1" s="19" t="s">
        <v>124</v>
      </c>
      <c r="AI1" s="19" t="s">
        <v>27</v>
      </c>
      <c r="AJ1" s="19" t="s">
        <v>28</v>
      </c>
      <c r="AK1" s="19" t="s">
        <v>29</v>
      </c>
      <c r="AL1" s="19" t="s">
        <v>30</v>
      </c>
    </row>
    <row r="2" spans="1:38" x14ac:dyDescent="0.3">
      <c r="A2" s="2">
        <v>1</v>
      </c>
      <c r="B2" s="2">
        <v>1</v>
      </c>
      <c r="C2" s="3">
        <v>1</v>
      </c>
      <c r="D2" s="2">
        <v>1</v>
      </c>
      <c r="E2" s="3" t="s">
        <v>31</v>
      </c>
      <c r="F2" s="2" t="s">
        <v>32</v>
      </c>
      <c r="G2" s="4">
        <v>45637</v>
      </c>
      <c r="H2" s="2">
        <v>-47.9671339</v>
      </c>
      <c r="I2" s="2">
        <v>-22.777845599999999</v>
      </c>
      <c r="J2" s="2" t="s">
        <v>33</v>
      </c>
      <c r="K2" s="4">
        <v>45689</v>
      </c>
      <c r="L2" s="2">
        <f t="shared" ref="L2:L33" si="0">K2-G2</f>
        <v>52</v>
      </c>
      <c r="M2" s="2">
        <v>62</v>
      </c>
      <c r="N2" s="4">
        <v>45734</v>
      </c>
      <c r="O2" s="4">
        <v>45744</v>
      </c>
      <c r="P2" s="2">
        <f t="shared" ref="P2:P33" si="1">O2-N2</f>
        <v>10</v>
      </c>
      <c r="Q2" s="2">
        <v>78</v>
      </c>
      <c r="R2" s="21" t="s">
        <v>34</v>
      </c>
      <c r="S2" s="22" t="s">
        <v>35</v>
      </c>
      <c r="T2" s="2">
        <v>2</v>
      </c>
      <c r="U2" s="4">
        <v>45773</v>
      </c>
      <c r="V2" s="2">
        <f t="shared" ref="V2:V33" si="2">U2-G2</f>
        <v>136</v>
      </c>
      <c r="W2" s="2">
        <v>4</v>
      </c>
      <c r="X2" s="2">
        <v>4</v>
      </c>
      <c r="Y2" s="6">
        <v>11.8</v>
      </c>
      <c r="Z2" s="5">
        <v>0.25</v>
      </c>
      <c r="AA2" s="7">
        <f t="shared" ref="AA2:AA33" si="3">(Z2*((100-Y2)/(100-13)))</f>
        <v>0.25344827586206897</v>
      </c>
      <c r="AB2" s="7">
        <f t="shared" ref="AB2:AB33" si="4">(Z2*((100-Y2)/(100-13))/5)*10000</f>
        <v>506.89655172413791</v>
      </c>
      <c r="AC2" s="8">
        <f t="shared" ref="AC2:AC33" si="5">AB2/1000</f>
        <v>0.50689655172413794</v>
      </c>
      <c r="AD2" s="6">
        <v>8.0399999999999991</v>
      </c>
      <c r="AE2" s="6">
        <f t="shared" ref="AE2:AE33" si="6">(AD2*((100-Y2)/(100-13)))</f>
        <v>8.1508965517241379</v>
      </c>
      <c r="AF2" s="5">
        <v>1.2E-2</v>
      </c>
      <c r="AG2" s="7">
        <f t="shared" ref="AG2:AG33" si="7">(AF2*((100-Y2)/(100-13))/5)*10000</f>
        <v>24.331034482758625</v>
      </c>
      <c r="AH2" s="18">
        <f t="shared" ref="AH2:AH33" si="8">((1-(AB2 -AG2)/AB2))</f>
        <v>4.8000000000000043E-2</v>
      </c>
      <c r="AI2" s="2"/>
      <c r="AJ2" s="2"/>
      <c r="AK2" s="2"/>
      <c r="AL2" s="2"/>
    </row>
    <row r="3" spans="1:38" x14ac:dyDescent="0.3">
      <c r="A3" s="2">
        <v>1</v>
      </c>
      <c r="B3" s="2">
        <v>2</v>
      </c>
      <c r="C3" s="3">
        <v>2</v>
      </c>
      <c r="D3" s="2">
        <v>1</v>
      </c>
      <c r="E3" s="3" t="s">
        <v>36</v>
      </c>
      <c r="F3" s="2" t="s">
        <v>37</v>
      </c>
      <c r="G3" s="4">
        <v>45637</v>
      </c>
      <c r="H3" s="2">
        <v>-47.9671339</v>
      </c>
      <c r="I3" s="2">
        <v>-22.777845599999999</v>
      </c>
      <c r="J3" s="2" t="s">
        <v>33</v>
      </c>
      <c r="K3" s="4">
        <v>45681</v>
      </c>
      <c r="L3" s="2">
        <f t="shared" si="0"/>
        <v>44</v>
      </c>
      <c r="M3" s="2">
        <v>35</v>
      </c>
      <c r="N3" s="4">
        <v>45728</v>
      </c>
      <c r="O3" s="4">
        <v>45735</v>
      </c>
      <c r="P3" s="2">
        <f t="shared" si="1"/>
        <v>7</v>
      </c>
      <c r="Q3" s="2">
        <v>72</v>
      </c>
      <c r="R3" s="21" t="s">
        <v>34</v>
      </c>
      <c r="S3" s="20" t="s">
        <v>38</v>
      </c>
      <c r="T3" s="2">
        <v>1</v>
      </c>
      <c r="U3" s="4">
        <v>45746</v>
      </c>
      <c r="V3" s="2">
        <f t="shared" si="2"/>
        <v>109</v>
      </c>
      <c r="W3" s="2">
        <v>4</v>
      </c>
      <c r="X3" s="2">
        <v>3</v>
      </c>
      <c r="Y3" s="6">
        <v>12.1</v>
      </c>
      <c r="Z3" s="5">
        <v>0.82199999999999995</v>
      </c>
      <c r="AA3" s="7">
        <f t="shared" si="3"/>
        <v>0.83050344827586209</v>
      </c>
      <c r="AB3" s="7">
        <f t="shared" si="4"/>
        <v>1661.0068965517241</v>
      </c>
      <c r="AC3" s="8">
        <f t="shared" si="5"/>
        <v>1.6610068965517242</v>
      </c>
      <c r="AD3" s="6">
        <v>10.8</v>
      </c>
      <c r="AE3" s="6">
        <f t="shared" si="6"/>
        <v>10.911724137931037</v>
      </c>
      <c r="AF3" s="5">
        <v>0.371</v>
      </c>
      <c r="AG3" s="7">
        <f t="shared" si="7"/>
        <v>749.67586206896556</v>
      </c>
      <c r="AH3" s="18">
        <f t="shared" si="8"/>
        <v>0.45133819951338205</v>
      </c>
      <c r="AI3" s="2"/>
      <c r="AJ3" s="2"/>
      <c r="AK3" s="2"/>
      <c r="AL3" s="2"/>
    </row>
    <row r="4" spans="1:38" x14ac:dyDescent="0.3">
      <c r="A4" s="2">
        <v>1</v>
      </c>
      <c r="B4" s="2">
        <v>3</v>
      </c>
      <c r="C4" s="3">
        <v>3</v>
      </c>
      <c r="D4" s="2">
        <v>1</v>
      </c>
      <c r="E4" s="3" t="s">
        <v>39</v>
      </c>
      <c r="F4" s="2" t="s">
        <v>40</v>
      </c>
      <c r="G4" s="4">
        <v>45637</v>
      </c>
      <c r="H4" s="2">
        <v>-47.9671339</v>
      </c>
      <c r="I4" s="2">
        <v>-22.777845599999999</v>
      </c>
      <c r="J4" s="10" t="s">
        <v>41</v>
      </c>
      <c r="K4" s="4">
        <v>45690</v>
      </c>
      <c r="L4" s="2">
        <f t="shared" si="0"/>
        <v>53</v>
      </c>
      <c r="M4" s="2">
        <v>61</v>
      </c>
      <c r="N4" s="4">
        <v>45734</v>
      </c>
      <c r="O4" s="4">
        <v>45739</v>
      </c>
      <c r="P4" s="2">
        <f t="shared" si="1"/>
        <v>5</v>
      </c>
      <c r="Q4" s="2">
        <v>97</v>
      </c>
      <c r="R4" s="21" t="s">
        <v>34</v>
      </c>
      <c r="S4" s="21" t="s">
        <v>42</v>
      </c>
      <c r="T4" s="2">
        <v>1</v>
      </c>
      <c r="U4" s="4">
        <v>45773</v>
      </c>
      <c r="V4" s="2">
        <f t="shared" si="2"/>
        <v>136</v>
      </c>
      <c r="W4" s="2">
        <v>4</v>
      </c>
      <c r="X4" s="2">
        <v>4</v>
      </c>
      <c r="Y4" s="6">
        <v>11.4</v>
      </c>
      <c r="Z4" s="5">
        <v>0.34200000000000003</v>
      </c>
      <c r="AA4" s="7">
        <f t="shared" si="3"/>
        <v>0.34828965517241378</v>
      </c>
      <c r="AB4" s="7">
        <f t="shared" si="4"/>
        <v>696.5793103448276</v>
      </c>
      <c r="AC4" s="8">
        <f t="shared" si="5"/>
        <v>0.69657931034482756</v>
      </c>
      <c r="AD4" s="6">
        <v>8.09</v>
      </c>
      <c r="AE4" s="6">
        <f t="shared" si="6"/>
        <v>8.2387816091954011</v>
      </c>
      <c r="AF4" s="5">
        <v>8.9999999999999993E-3</v>
      </c>
      <c r="AG4" s="7">
        <f t="shared" si="7"/>
        <v>18.331034482758618</v>
      </c>
      <c r="AH4" s="18">
        <f t="shared" si="8"/>
        <v>2.6315789473684181E-2</v>
      </c>
      <c r="AI4" s="2"/>
      <c r="AJ4" s="2"/>
      <c r="AK4" s="2"/>
      <c r="AL4" s="2" t="s">
        <v>43</v>
      </c>
    </row>
    <row r="5" spans="1:38" x14ac:dyDescent="0.3">
      <c r="A5" s="2">
        <v>1</v>
      </c>
      <c r="B5" s="2">
        <v>4</v>
      </c>
      <c r="C5" s="3">
        <v>4</v>
      </c>
      <c r="D5" s="2">
        <v>1</v>
      </c>
      <c r="E5" s="3" t="s">
        <v>44</v>
      </c>
      <c r="F5" s="2" t="s">
        <v>45</v>
      </c>
      <c r="G5" s="4">
        <v>45637</v>
      </c>
      <c r="H5" s="2">
        <v>-48.018796600000002</v>
      </c>
      <c r="I5" s="2">
        <v>-22.846822599999999</v>
      </c>
      <c r="J5" s="2" t="s">
        <v>33</v>
      </c>
      <c r="K5" s="4">
        <v>45690</v>
      </c>
      <c r="L5" s="2">
        <f t="shared" si="0"/>
        <v>53</v>
      </c>
      <c r="M5" s="2">
        <v>51</v>
      </c>
      <c r="N5" s="4">
        <v>45736</v>
      </c>
      <c r="O5" s="4">
        <v>45744</v>
      </c>
      <c r="P5" s="2">
        <f t="shared" si="1"/>
        <v>8</v>
      </c>
      <c r="Q5" s="2">
        <v>70</v>
      </c>
      <c r="R5" s="21" t="s">
        <v>34</v>
      </c>
      <c r="S5" s="22" t="s">
        <v>35</v>
      </c>
      <c r="T5" s="2">
        <v>1</v>
      </c>
      <c r="U5" s="4">
        <v>45762</v>
      </c>
      <c r="V5" s="2">
        <f t="shared" si="2"/>
        <v>125</v>
      </c>
      <c r="W5" s="2">
        <v>4</v>
      </c>
      <c r="X5" s="2">
        <v>5</v>
      </c>
      <c r="Y5" s="6">
        <v>8.5</v>
      </c>
      <c r="Z5" s="5">
        <v>0.158</v>
      </c>
      <c r="AA5" s="7">
        <f t="shared" si="3"/>
        <v>0.16617241379310344</v>
      </c>
      <c r="AB5" s="7">
        <f t="shared" si="4"/>
        <v>332.34482758620692</v>
      </c>
      <c r="AC5" s="8">
        <f t="shared" si="5"/>
        <v>0.33234482758620693</v>
      </c>
      <c r="AD5" s="6">
        <v>5.41</v>
      </c>
      <c r="AE5" s="6">
        <f t="shared" si="6"/>
        <v>5.6898275862068965</v>
      </c>
      <c r="AF5" s="5">
        <v>4.62E-3</v>
      </c>
      <c r="AG5" s="7">
        <f t="shared" si="7"/>
        <v>9.7179310344827581</v>
      </c>
      <c r="AH5" s="18">
        <f t="shared" si="8"/>
        <v>2.9240506329114013E-2</v>
      </c>
      <c r="AI5" s="2"/>
      <c r="AJ5" s="2"/>
      <c r="AK5" s="2"/>
      <c r="AL5" s="2" t="s">
        <v>46</v>
      </c>
    </row>
    <row r="6" spans="1:38" x14ac:dyDescent="0.3">
      <c r="A6" s="2">
        <v>1</v>
      </c>
      <c r="B6" s="2">
        <v>5</v>
      </c>
      <c r="C6" s="3">
        <v>5</v>
      </c>
      <c r="D6" s="2">
        <v>1</v>
      </c>
      <c r="E6" s="3" t="s">
        <v>47</v>
      </c>
      <c r="F6" s="2" t="s">
        <v>48</v>
      </c>
      <c r="G6" s="4">
        <v>45637</v>
      </c>
      <c r="H6" s="2">
        <v>-48.018796600000002</v>
      </c>
      <c r="I6" s="2">
        <v>-22.846822599999999</v>
      </c>
      <c r="J6" s="10" t="s">
        <v>41</v>
      </c>
      <c r="K6" s="4">
        <v>45684</v>
      </c>
      <c r="L6" s="2">
        <f t="shared" si="0"/>
        <v>47</v>
      </c>
      <c r="M6" s="2">
        <v>47</v>
      </c>
      <c r="N6" s="4">
        <v>45736</v>
      </c>
      <c r="O6" s="4">
        <v>45745</v>
      </c>
      <c r="P6" s="2">
        <f t="shared" si="1"/>
        <v>9</v>
      </c>
      <c r="Q6" s="2">
        <v>72</v>
      </c>
      <c r="R6" s="21" t="s">
        <v>34</v>
      </c>
      <c r="S6" s="23" t="s">
        <v>49</v>
      </c>
      <c r="T6" s="2">
        <v>1</v>
      </c>
      <c r="U6" s="4">
        <v>45747</v>
      </c>
      <c r="V6" s="2">
        <f t="shared" si="2"/>
        <v>110</v>
      </c>
      <c r="W6" s="2">
        <v>3</v>
      </c>
      <c r="X6" s="2">
        <v>2</v>
      </c>
      <c r="Y6" s="6">
        <v>10</v>
      </c>
      <c r="Z6" s="5">
        <v>0.26600000000000001</v>
      </c>
      <c r="AA6" s="7">
        <f t="shared" si="3"/>
        <v>0.27517241379310348</v>
      </c>
      <c r="AB6" s="7">
        <f t="shared" si="4"/>
        <v>550.34482758620697</v>
      </c>
      <c r="AC6" s="8">
        <f t="shared" si="5"/>
        <v>0.55034482758620695</v>
      </c>
      <c r="AD6" s="6">
        <v>5.16</v>
      </c>
      <c r="AE6" s="6">
        <f t="shared" si="6"/>
        <v>5.3379310344827591</v>
      </c>
      <c r="AF6" s="5">
        <v>4.8000000000000001E-2</v>
      </c>
      <c r="AG6" s="7">
        <f t="shared" si="7"/>
        <v>99.310344827586206</v>
      </c>
      <c r="AH6" s="18">
        <f t="shared" si="8"/>
        <v>0.18045112781954886</v>
      </c>
      <c r="AI6" s="2"/>
      <c r="AJ6" s="2"/>
      <c r="AK6" s="2"/>
      <c r="AL6" s="2" t="s">
        <v>50</v>
      </c>
    </row>
    <row r="7" spans="1:38" x14ac:dyDescent="0.3">
      <c r="A7" s="2">
        <v>2</v>
      </c>
      <c r="B7" s="2">
        <v>5</v>
      </c>
      <c r="C7" s="3">
        <v>6</v>
      </c>
      <c r="D7" s="2">
        <v>1</v>
      </c>
      <c r="E7" s="3" t="s">
        <v>51</v>
      </c>
      <c r="F7" s="2" t="s">
        <v>52</v>
      </c>
      <c r="G7" s="4">
        <v>45637</v>
      </c>
      <c r="H7" s="2">
        <v>-48.112146600000003</v>
      </c>
      <c r="I7" s="2">
        <v>-22.956676699999999</v>
      </c>
      <c r="J7" s="2" t="s">
        <v>33</v>
      </c>
      <c r="K7" s="4">
        <v>45685</v>
      </c>
      <c r="L7" s="2">
        <f t="shared" si="0"/>
        <v>48</v>
      </c>
      <c r="M7" s="2">
        <v>52</v>
      </c>
      <c r="N7" s="4">
        <v>45727</v>
      </c>
      <c r="O7" s="4">
        <v>45734</v>
      </c>
      <c r="P7" s="2">
        <f t="shared" si="1"/>
        <v>7</v>
      </c>
      <c r="Q7" s="2">
        <v>78</v>
      </c>
      <c r="R7" s="20" t="s">
        <v>53</v>
      </c>
      <c r="S7" s="20" t="s">
        <v>38</v>
      </c>
      <c r="T7" s="2">
        <v>2</v>
      </c>
      <c r="U7" s="4">
        <v>45745</v>
      </c>
      <c r="V7" s="2">
        <f t="shared" si="2"/>
        <v>108</v>
      </c>
      <c r="W7" s="2">
        <v>3</v>
      </c>
      <c r="X7" s="2">
        <v>4</v>
      </c>
      <c r="Y7" s="6">
        <v>10.9</v>
      </c>
      <c r="Z7" s="5">
        <v>0.502</v>
      </c>
      <c r="AA7" s="7">
        <f t="shared" si="3"/>
        <v>0.51411724137931036</v>
      </c>
      <c r="AB7" s="7">
        <f t="shared" si="4"/>
        <v>1028.2344827586207</v>
      </c>
      <c r="AC7" s="8">
        <f t="shared" si="5"/>
        <v>1.0282344827586207</v>
      </c>
      <c r="AD7" s="6">
        <v>10.28</v>
      </c>
      <c r="AE7" s="6">
        <f t="shared" si="6"/>
        <v>10.528137931034481</v>
      </c>
      <c r="AF7" s="5">
        <v>0.1</v>
      </c>
      <c r="AG7" s="7">
        <f t="shared" si="7"/>
        <v>204.82758620689657</v>
      </c>
      <c r="AH7" s="18">
        <f t="shared" si="8"/>
        <v>0.19920318725099595</v>
      </c>
      <c r="AI7" s="2"/>
      <c r="AJ7" s="2"/>
      <c r="AK7" s="2"/>
      <c r="AL7" s="2"/>
    </row>
    <row r="8" spans="1:38" x14ac:dyDescent="0.3">
      <c r="A8" s="2">
        <v>2</v>
      </c>
      <c r="B8" s="2">
        <v>4</v>
      </c>
      <c r="C8" s="3">
        <v>7</v>
      </c>
      <c r="D8" s="2">
        <v>1</v>
      </c>
      <c r="E8" s="3" t="s">
        <v>54</v>
      </c>
      <c r="F8" s="2" t="s">
        <v>55</v>
      </c>
      <c r="G8" s="4">
        <v>45637</v>
      </c>
      <c r="H8" s="2">
        <v>-47.9671339</v>
      </c>
      <c r="I8" s="2">
        <v>-22.777845599999999</v>
      </c>
      <c r="J8" s="2" t="s">
        <v>33</v>
      </c>
      <c r="K8" s="4">
        <v>45690</v>
      </c>
      <c r="L8" s="2">
        <f t="shared" si="0"/>
        <v>53</v>
      </c>
      <c r="M8" s="2">
        <v>62</v>
      </c>
      <c r="N8" s="4">
        <v>45730</v>
      </c>
      <c r="O8" s="4">
        <v>45737</v>
      </c>
      <c r="P8" s="2">
        <f t="shared" si="1"/>
        <v>7</v>
      </c>
      <c r="Q8" s="2">
        <v>84</v>
      </c>
      <c r="R8" s="21" t="s">
        <v>34</v>
      </c>
      <c r="S8" s="23" t="s">
        <v>49</v>
      </c>
      <c r="T8" s="2">
        <v>2</v>
      </c>
      <c r="U8" s="4">
        <v>45744</v>
      </c>
      <c r="V8" s="2">
        <f t="shared" si="2"/>
        <v>107</v>
      </c>
      <c r="W8" s="2">
        <v>3</v>
      </c>
      <c r="X8" s="2">
        <v>3</v>
      </c>
      <c r="Y8" s="6">
        <v>11.6</v>
      </c>
      <c r="Z8" s="5">
        <v>0.61799999999999999</v>
      </c>
      <c r="AA8" s="7">
        <f t="shared" si="3"/>
        <v>0.62794482758620684</v>
      </c>
      <c r="AB8" s="7">
        <f t="shared" si="4"/>
        <v>1255.8896551724135</v>
      </c>
      <c r="AC8" s="8">
        <f t="shared" si="5"/>
        <v>1.2558896551724135</v>
      </c>
      <c r="AD8" s="6">
        <v>6.44</v>
      </c>
      <c r="AE8" s="6">
        <f t="shared" si="6"/>
        <v>6.5436321839080458</v>
      </c>
      <c r="AF8" s="5">
        <v>0.104</v>
      </c>
      <c r="AG8" s="7">
        <f t="shared" si="7"/>
        <v>211.34712643678159</v>
      </c>
      <c r="AH8" s="18">
        <f t="shared" si="8"/>
        <v>0.16828478964401294</v>
      </c>
      <c r="AI8" s="2"/>
      <c r="AJ8" s="2"/>
      <c r="AK8" s="2"/>
      <c r="AL8" s="2"/>
    </row>
    <row r="9" spans="1:38" x14ac:dyDescent="0.3">
      <c r="A9" s="2">
        <v>2</v>
      </c>
      <c r="B9" s="2">
        <v>3</v>
      </c>
      <c r="C9" s="3">
        <v>8</v>
      </c>
      <c r="D9" s="2">
        <v>1</v>
      </c>
      <c r="E9" s="3" t="s">
        <v>56</v>
      </c>
      <c r="F9" s="2" t="s">
        <v>57</v>
      </c>
      <c r="G9" s="4">
        <v>45637</v>
      </c>
      <c r="H9" s="2">
        <v>-47.9671339</v>
      </c>
      <c r="I9" s="2">
        <v>-22.777845599999999</v>
      </c>
      <c r="J9" s="2" t="s">
        <v>33</v>
      </c>
      <c r="K9" s="4">
        <v>45683</v>
      </c>
      <c r="L9" s="2">
        <f t="shared" si="0"/>
        <v>46</v>
      </c>
      <c r="M9" s="2">
        <v>48</v>
      </c>
      <c r="N9" s="4">
        <v>45735</v>
      </c>
      <c r="O9" s="4">
        <v>45738</v>
      </c>
      <c r="P9" s="2">
        <f t="shared" si="1"/>
        <v>3</v>
      </c>
      <c r="Q9" s="2">
        <v>88</v>
      </c>
      <c r="R9" s="2"/>
      <c r="S9" s="22" t="s">
        <v>35</v>
      </c>
      <c r="T9" s="2">
        <v>1</v>
      </c>
      <c r="U9" s="4">
        <v>45772</v>
      </c>
      <c r="V9" s="2">
        <f t="shared" si="2"/>
        <v>135</v>
      </c>
      <c r="W9" s="2">
        <v>3</v>
      </c>
      <c r="X9" s="2">
        <v>5</v>
      </c>
      <c r="Y9" s="6">
        <v>12.9</v>
      </c>
      <c r="Z9" s="5">
        <v>0.23400000000000001</v>
      </c>
      <c r="AA9" s="7">
        <f t="shared" si="3"/>
        <v>0.23426896551724138</v>
      </c>
      <c r="AB9" s="7">
        <f t="shared" si="4"/>
        <v>468.53793103448277</v>
      </c>
      <c r="AC9" s="8">
        <f t="shared" si="5"/>
        <v>0.46853793103448277</v>
      </c>
      <c r="AD9" s="6">
        <v>6.76</v>
      </c>
      <c r="AE9" s="6">
        <f t="shared" si="6"/>
        <v>6.767770114942528</v>
      </c>
      <c r="AF9" s="5">
        <v>5.0000000000000001E-3</v>
      </c>
      <c r="AG9" s="7">
        <f t="shared" si="7"/>
        <v>10.011494252873563</v>
      </c>
      <c r="AH9" s="18">
        <f t="shared" si="8"/>
        <v>2.1367521367521292E-2</v>
      </c>
      <c r="AI9" s="2"/>
      <c r="AJ9" s="2"/>
      <c r="AK9" s="2"/>
      <c r="AL9" s="2"/>
    </row>
    <row r="10" spans="1:38" x14ac:dyDescent="0.3">
      <c r="A10" s="2">
        <v>2</v>
      </c>
      <c r="B10" s="2">
        <v>2</v>
      </c>
      <c r="C10" s="3">
        <v>9</v>
      </c>
      <c r="D10" s="2">
        <v>1</v>
      </c>
      <c r="E10" s="3" t="s">
        <v>58</v>
      </c>
      <c r="F10" s="2" t="s">
        <v>59</v>
      </c>
      <c r="G10" s="4">
        <v>45637</v>
      </c>
      <c r="H10" s="2">
        <v>-48.097255500000003</v>
      </c>
      <c r="I10" s="2">
        <v>-22.565214699999999</v>
      </c>
      <c r="J10" s="10" t="s">
        <v>41</v>
      </c>
      <c r="K10" s="4">
        <v>45683</v>
      </c>
      <c r="L10" s="2">
        <f t="shared" si="0"/>
        <v>46</v>
      </c>
      <c r="M10" s="2">
        <v>50</v>
      </c>
      <c r="N10" s="4">
        <v>45736</v>
      </c>
      <c r="O10" s="4">
        <v>45743</v>
      </c>
      <c r="P10" s="2">
        <f t="shared" si="1"/>
        <v>7</v>
      </c>
      <c r="Q10" s="2">
        <v>80</v>
      </c>
      <c r="R10" s="21" t="s">
        <v>34</v>
      </c>
      <c r="S10" s="23" t="s">
        <v>49</v>
      </c>
      <c r="T10" s="2">
        <v>1</v>
      </c>
      <c r="U10" s="4">
        <v>45776</v>
      </c>
      <c r="V10" s="2">
        <f t="shared" si="2"/>
        <v>139</v>
      </c>
      <c r="W10" s="2">
        <v>3</v>
      </c>
      <c r="X10" s="2">
        <v>5</v>
      </c>
      <c r="Y10" s="6">
        <v>12.8</v>
      </c>
      <c r="Z10" s="5">
        <v>0.28000000000000003</v>
      </c>
      <c r="AA10" s="7">
        <f t="shared" si="3"/>
        <v>0.28064367816091956</v>
      </c>
      <c r="AB10" s="7">
        <f t="shared" si="4"/>
        <v>561.28735632183918</v>
      </c>
      <c r="AC10" s="8">
        <f t="shared" si="5"/>
        <v>0.56128735632183924</v>
      </c>
      <c r="AD10" s="6">
        <v>8.76</v>
      </c>
      <c r="AE10" s="6">
        <f t="shared" si="6"/>
        <v>8.7801379310344814</v>
      </c>
      <c r="AF10" s="5">
        <v>1.265E-2</v>
      </c>
      <c r="AG10" s="7">
        <f t="shared" si="7"/>
        <v>25.358160919540229</v>
      </c>
      <c r="AH10" s="18">
        <f t="shared" si="8"/>
        <v>4.517857142857129E-2</v>
      </c>
      <c r="AI10" s="2"/>
      <c r="AJ10" s="2"/>
      <c r="AK10" s="2"/>
      <c r="AL10" s="2"/>
    </row>
    <row r="11" spans="1:38" x14ac:dyDescent="0.3">
      <c r="A11" s="2">
        <v>2</v>
      </c>
      <c r="B11" s="2">
        <v>1</v>
      </c>
      <c r="C11" s="3">
        <v>10</v>
      </c>
      <c r="D11" s="2">
        <v>1</v>
      </c>
      <c r="E11" s="3" t="s">
        <v>60</v>
      </c>
      <c r="F11" s="2" t="s">
        <v>61</v>
      </c>
      <c r="G11" s="4">
        <v>45637</v>
      </c>
      <c r="H11" s="2">
        <v>-48.142872400000002</v>
      </c>
      <c r="I11" s="2">
        <v>-22.8182318</v>
      </c>
      <c r="J11" s="10" t="s">
        <v>41</v>
      </c>
      <c r="K11" s="4">
        <v>45681</v>
      </c>
      <c r="L11" s="2">
        <f t="shared" si="0"/>
        <v>44</v>
      </c>
      <c r="M11" s="2">
        <v>33</v>
      </c>
      <c r="N11" s="4">
        <v>45726</v>
      </c>
      <c r="O11" s="4">
        <v>45735</v>
      </c>
      <c r="P11" s="2">
        <f t="shared" si="1"/>
        <v>9</v>
      </c>
      <c r="Q11" s="2">
        <v>65</v>
      </c>
      <c r="R11" s="20" t="s">
        <v>53</v>
      </c>
      <c r="S11" s="20" t="s">
        <v>38</v>
      </c>
      <c r="T11" s="2">
        <v>1</v>
      </c>
      <c r="U11" s="4">
        <v>45740</v>
      </c>
      <c r="V11" s="2">
        <f t="shared" si="2"/>
        <v>103</v>
      </c>
      <c r="W11" s="2">
        <v>2</v>
      </c>
      <c r="X11" s="2">
        <v>3</v>
      </c>
      <c r="Y11" s="6">
        <v>10.3</v>
      </c>
      <c r="Z11" s="5">
        <v>0.69199999999999995</v>
      </c>
      <c r="AA11" s="7">
        <f t="shared" si="3"/>
        <v>0.71347586206896541</v>
      </c>
      <c r="AB11" s="7">
        <f t="shared" si="4"/>
        <v>1426.951724137931</v>
      </c>
      <c r="AC11" s="8">
        <f t="shared" si="5"/>
        <v>1.426951724137931</v>
      </c>
      <c r="AD11" s="6">
        <v>12.41</v>
      </c>
      <c r="AE11" s="6">
        <f t="shared" si="6"/>
        <v>12.795137931034482</v>
      </c>
      <c r="AF11" s="5">
        <v>0.33400000000000002</v>
      </c>
      <c r="AG11" s="7">
        <f t="shared" si="7"/>
        <v>688.73103448275867</v>
      </c>
      <c r="AH11" s="18">
        <f t="shared" si="8"/>
        <v>0.48265895953757232</v>
      </c>
      <c r="AI11" s="2"/>
      <c r="AJ11" s="2"/>
      <c r="AK11" s="2"/>
      <c r="AL11" s="2"/>
    </row>
    <row r="12" spans="1:38" x14ac:dyDescent="0.3">
      <c r="A12" s="2">
        <v>3</v>
      </c>
      <c r="B12" s="2">
        <v>1</v>
      </c>
      <c r="C12" s="3">
        <v>11</v>
      </c>
      <c r="D12" s="2">
        <v>1</v>
      </c>
      <c r="E12" s="3" t="s">
        <v>62</v>
      </c>
      <c r="F12" s="2" t="s">
        <v>63</v>
      </c>
      <c r="G12" s="4">
        <v>45637</v>
      </c>
      <c r="H12" s="2">
        <v>-48.097255500000003</v>
      </c>
      <c r="I12" s="2">
        <v>-22.565214699999999</v>
      </c>
      <c r="J12" s="2" t="s">
        <v>33</v>
      </c>
      <c r="K12" s="4">
        <v>45688</v>
      </c>
      <c r="L12" s="2">
        <f t="shared" si="0"/>
        <v>51</v>
      </c>
      <c r="M12" s="2">
        <v>55</v>
      </c>
      <c r="N12" s="4">
        <v>45736</v>
      </c>
      <c r="O12" s="4">
        <v>45741</v>
      </c>
      <c r="P12" s="2">
        <f t="shared" si="1"/>
        <v>5</v>
      </c>
      <c r="Q12" s="2">
        <v>79</v>
      </c>
      <c r="R12" s="21" t="s">
        <v>34</v>
      </c>
      <c r="S12" s="23" t="s">
        <v>49</v>
      </c>
      <c r="T12" s="2">
        <v>3</v>
      </c>
      <c r="U12" s="4">
        <v>45772</v>
      </c>
      <c r="V12" s="2">
        <f t="shared" si="2"/>
        <v>135</v>
      </c>
      <c r="W12" s="2">
        <v>3</v>
      </c>
      <c r="X12" s="2">
        <v>5</v>
      </c>
      <c r="Y12" s="6">
        <v>10.7</v>
      </c>
      <c r="Z12" s="5">
        <v>0.378</v>
      </c>
      <c r="AA12" s="7">
        <f t="shared" si="3"/>
        <v>0.38799310344827581</v>
      </c>
      <c r="AB12" s="7">
        <f t="shared" si="4"/>
        <v>775.98620689655161</v>
      </c>
      <c r="AC12" s="8">
        <f t="shared" si="5"/>
        <v>0.77598620689655162</v>
      </c>
      <c r="AD12" s="6">
        <v>7.18</v>
      </c>
      <c r="AE12" s="6">
        <f t="shared" si="6"/>
        <v>7.3698160919540214</v>
      </c>
      <c r="AF12" s="5"/>
      <c r="AG12" s="7">
        <f t="shared" si="7"/>
        <v>0</v>
      </c>
      <c r="AH12" s="18">
        <f t="shared" si="8"/>
        <v>0</v>
      </c>
      <c r="AI12" s="2"/>
      <c r="AJ12" s="2"/>
      <c r="AK12" s="2"/>
      <c r="AL12" s="2"/>
    </row>
    <row r="13" spans="1:38" x14ac:dyDescent="0.3">
      <c r="A13" s="2">
        <v>3</v>
      </c>
      <c r="B13" s="2">
        <v>2</v>
      </c>
      <c r="C13" s="3">
        <v>12</v>
      </c>
      <c r="D13" s="2">
        <v>1</v>
      </c>
      <c r="E13" s="3" t="s">
        <v>64</v>
      </c>
      <c r="F13" s="2" t="s">
        <v>65</v>
      </c>
      <c r="G13" s="4">
        <v>45637</v>
      </c>
      <c r="H13" s="2">
        <v>-47.9671339</v>
      </c>
      <c r="I13" s="2">
        <v>-22.777845599999999</v>
      </c>
      <c r="J13" s="10" t="s">
        <v>41</v>
      </c>
      <c r="K13" s="4">
        <v>45681</v>
      </c>
      <c r="L13" s="2">
        <f t="shared" si="0"/>
        <v>44</v>
      </c>
      <c r="M13" s="2">
        <v>47</v>
      </c>
      <c r="N13" s="4">
        <v>45728</v>
      </c>
      <c r="O13" s="4">
        <v>45739</v>
      </c>
      <c r="P13" s="2">
        <f t="shared" si="1"/>
        <v>11</v>
      </c>
      <c r="Q13" s="2">
        <v>79</v>
      </c>
      <c r="R13" s="21" t="s">
        <v>34</v>
      </c>
      <c r="S13" s="23" t="s">
        <v>49</v>
      </c>
      <c r="T13" s="2">
        <v>2</v>
      </c>
      <c r="U13" s="4">
        <v>45759</v>
      </c>
      <c r="V13" s="2">
        <f t="shared" si="2"/>
        <v>122</v>
      </c>
      <c r="W13" s="2">
        <v>3</v>
      </c>
      <c r="X13" s="2">
        <v>5</v>
      </c>
      <c r="Y13" s="6">
        <v>11.7</v>
      </c>
      <c r="Z13" s="5">
        <v>0.622</v>
      </c>
      <c r="AA13" s="7">
        <f t="shared" si="3"/>
        <v>0.63129425287356322</v>
      </c>
      <c r="AB13" s="7">
        <f t="shared" si="4"/>
        <v>1262.5885057471264</v>
      </c>
      <c r="AC13" s="8">
        <f t="shared" si="5"/>
        <v>1.2625885057471264</v>
      </c>
      <c r="AD13" s="6">
        <v>12.29</v>
      </c>
      <c r="AE13" s="6">
        <f t="shared" si="6"/>
        <v>12.473643678160919</v>
      </c>
      <c r="AF13" s="5">
        <v>0.152</v>
      </c>
      <c r="AG13" s="7">
        <f t="shared" si="7"/>
        <v>308.54252873563212</v>
      </c>
      <c r="AH13" s="18">
        <f t="shared" si="8"/>
        <v>0.24437299035369775</v>
      </c>
      <c r="AI13" s="2"/>
      <c r="AJ13" s="2"/>
      <c r="AK13" s="2"/>
      <c r="AL13" s="2" t="s">
        <v>66</v>
      </c>
    </row>
    <row r="14" spans="1:38" x14ac:dyDescent="0.3">
      <c r="A14" s="2">
        <v>3</v>
      </c>
      <c r="B14" s="2">
        <v>3</v>
      </c>
      <c r="C14" s="3">
        <v>13</v>
      </c>
      <c r="D14" s="2">
        <v>1</v>
      </c>
      <c r="E14" s="3" t="s">
        <v>67</v>
      </c>
      <c r="F14" s="2" t="s">
        <v>68</v>
      </c>
      <c r="G14" s="4">
        <v>45637</v>
      </c>
      <c r="H14" s="2">
        <v>-47.9677528</v>
      </c>
      <c r="I14" s="2">
        <v>-22.781670500000001</v>
      </c>
      <c r="J14" s="2" t="s">
        <v>33</v>
      </c>
      <c r="K14" s="4">
        <v>45682</v>
      </c>
      <c r="L14" s="2">
        <f t="shared" si="0"/>
        <v>45</v>
      </c>
      <c r="M14" s="2">
        <v>36</v>
      </c>
      <c r="N14" s="4">
        <v>45726</v>
      </c>
      <c r="O14" s="4">
        <v>45735</v>
      </c>
      <c r="P14" s="2">
        <f t="shared" si="1"/>
        <v>9</v>
      </c>
      <c r="Q14" s="2">
        <v>78</v>
      </c>
      <c r="R14" s="20" t="s">
        <v>53</v>
      </c>
      <c r="S14" s="20" t="s">
        <v>38</v>
      </c>
      <c r="T14" s="2">
        <v>1</v>
      </c>
      <c r="U14" s="4">
        <v>45745</v>
      </c>
      <c r="V14" s="2">
        <f t="shared" si="2"/>
        <v>108</v>
      </c>
      <c r="W14" s="2">
        <v>4</v>
      </c>
      <c r="X14" s="2">
        <v>3</v>
      </c>
      <c r="Y14" s="6">
        <v>12.2</v>
      </c>
      <c r="Z14" s="5">
        <v>0.91</v>
      </c>
      <c r="AA14" s="7">
        <f t="shared" si="3"/>
        <v>0.91836781609195406</v>
      </c>
      <c r="AB14" s="7">
        <f t="shared" si="4"/>
        <v>1836.7356321839081</v>
      </c>
      <c r="AC14" s="8">
        <f t="shared" si="5"/>
        <v>1.8367356321839081</v>
      </c>
      <c r="AD14" s="6">
        <v>10.029999999999999</v>
      </c>
      <c r="AE14" s="6">
        <f t="shared" si="6"/>
        <v>10.12222988505747</v>
      </c>
      <c r="AF14" s="5">
        <v>0.54300000000000004</v>
      </c>
      <c r="AG14" s="7">
        <f t="shared" si="7"/>
        <v>1095.9862068965517</v>
      </c>
      <c r="AH14" s="18">
        <f t="shared" si="8"/>
        <v>0.59670329670329669</v>
      </c>
      <c r="AI14" s="2"/>
      <c r="AJ14" s="2"/>
      <c r="AK14" s="2"/>
      <c r="AL14" s="2" t="s">
        <v>69</v>
      </c>
    </row>
    <row r="15" spans="1:38" x14ac:dyDescent="0.3">
      <c r="A15" s="2">
        <v>3</v>
      </c>
      <c r="B15" s="2">
        <v>4</v>
      </c>
      <c r="C15" s="3">
        <v>14</v>
      </c>
      <c r="D15" s="2">
        <v>1</v>
      </c>
      <c r="E15" s="3" t="s">
        <v>70</v>
      </c>
      <c r="F15" s="2" t="s">
        <v>71</v>
      </c>
      <c r="G15" s="4">
        <v>45637</v>
      </c>
      <c r="H15" s="2">
        <v>-48.018796600000002</v>
      </c>
      <c r="I15" s="2">
        <v>-22.846822599999999</v>
      </c>
      <c r="J15" s="2" t="s">
        <v>33</v>
      </c>
      <c r="K15" s="4">
        <v>45684</v>
      </c>
      <c r="L15" s="2">
        <f t="shared" si="0"/>
        <v>47</v>
      </c>
      <c r="M15" s="2">
        <v>47</v>
      </c>
      <c r="N15" s="4">
        <v>45733</v>
      </c>
      <c r="O15" s="4">
        <v>45736</v>
      </c>
      <c r="P15" s="2">
        <f t="shared" si="1"/>
        <v>3</v>
      </c>
      <c r="Q15" s="2">
        <v>70</v>
      </c>
      <c r="R15" s="23" t="s">
        <v>72</v>
      </c>
      <c r="S15" s="23" t="s">
        <v>49</v>
      </c>
      <c r="T15" s="2">
        <v>1</v>
      </c>
      <c r="U15" s="4">
        <v>45748</v>
      </c>
      <c r="V15" s="2">
        <f t="shared" si="2"/>
        <v>111</v>
      </c>
      <c r="W15" s="2">
        <v>3</v>
      </c>
      <c r="X15" s="2">
        <v>3</v>
      </c>
      <c r="Y15" s="6">
        <v>11.3</v>
      </c>
      <c r="Z15" s="5">
        <v>0.42799999999999999</v>
      </c>
      <c r="AA15" s="7">
        <f t="shared" si="3"/>
        <v>0.43636321839080461</v>
      </c>
      <c r="AB15" s="7">
        <f t="shared" si="4"/>
        <v>872.72643678160932</v>
      </c>
      <c r="AC15" s="8">
        <f t="shared" si="5"/>
        <v>0.87272643678160933</v>
      </c>
      <c r="AD15" s="6">
        <v>8.69</v>
      </c>
      <c r="AE15" s="6">
        <f t="shared" si="6"/>
        <v>8.8598045977011495</v>
      </c>
      <c r="AF15" s="5">
        <v>0.11700000000000001</v>
      </c>
      <c r="AG15" s="7">
        <f t="shared" si="7"/>
        <v>238.57241379310349</v>
      </c>
      <c r="AH15" s="18">
        <f t="shared" si="8"/>
        <v>0.27336448598130836</v>
      </c>
      <c r="AI15" s="2"/>
      <c r="AJ15" s="2"/>
      <c r="AK15" s="2"/>
      <c r="AL15" s="2"/>
    </row>
    <row r="16" spans="1:38" x14ac:dyDescent="0.3">
      <c r="A16" s="2">
        <v>3</v>
      </c>
      <c r="B16" s="2">
        <v>5</v>
      </c>
      <c r="C16" s="3">
        <v>15</v>
      </c>
      <c r="D16" s="2">
        <v>1</v>
      </c>
      <c r="E16" s="3" t="s">
        <v>73</v>
      </c>
      <c r="F16" s="2" t="s">
        <v>74</v>
      </c>
      <c r="G16" s="4">
        <v>45637</v>
      </c>
      <c r="H16" s="2">
        <v>-48.133559699999999</v>
      </c>
      <c r="I16" s="2">
        <v>-22.7870995</v>
      </c>
      <c r="J16" s="2" t="s">
        <v>33</v>
      </c>
      <c r="K16" s="4">
        <v>45685</v>
      </c>
      <c r="L16" s="2">
        <f t="shared" si="0"/>
        <v>48</v>
      </c>
      <c r="M16" s="2">
        <v>40</v>
      </c>
      <c r="N16" s="4">
        <v>45728</v>
      </c>
      <c r="O16" s="4">
        <v>45735</v>
      </c>
      <c r="P16" s="2">
        <f t="shared" si="1"/>
        <v>7</v>
      </c>
      <c r="Q16" s="2">
        <v>77</v>
      </c>
      <c r="R16" s="20" t="s">
        <v>53</v>
      </c>
      <c r="S16" s="20" t="s">
        <v>38</v>
      </c>
      <c r="T16" s="2">
        <v>1</v>
      </c>
      <c r="U16" s="4">
        <v>45744</v>
      </c>
      <c r="V16" s="2">
        <f t="shared" si="2"/>
        <v>107</v>
      </c>
      <c r="W16" s="2">
        <v>3</v>
      </c>
      <c r="X16" s="2">
        <v>4</v>
      </c>
      <c r="Y16" s="6">
        <v>11.6</v>
      </c>
      <c r="Z16" s="5">
        <v>0.83599999999999997</v>
      </c>
      <c r="AA16" s="7">
        <f t="shared" si="3"/>
        <v>0.8494528735632183</v>
      </c>
      <c r="AB16" s="7">
        <f t="shared" si="4"/>
        <v>1698.9057471264366</v>
      </c>
      <c r="AC16" s="8">
        <f t="shared" si="5"/>
        <v>1.6989057471264366</v>
      </c>
      <c r="AD16" s="6">
        <v>10.23</v>
      </c>
      <c r="AE16" s="6">
        <f t="shared" si="6"/>
        <v>10.394620689655172</v>
      </c>
      <c r="AF16" s="5">
        <v>0.40200000000000002</v>
      </c>
      <c r="AG16" s="7">
        <f t="shared" si="7"/>
        <v>816.93793103448274</v>
      </c>
      <c r="AH16" s="18">
        <f t="shared" si="8"/>
        <v>0.48086124401913877</v>
      </c>
      <c r="AI16" s="2"/>
      <c r="AJ16" s="2"/>
      <c r="AK16" s="2"/>
      <c r="AL16" s="2"/>
    </row>
    <row r="17" spans="1:38" x14ac:dyDescent="0.3">
      <c r="A17" s="2">
        <v>4</v>
      </c>
      <c r="B17" s="2">
        <v>5</v>
      </c>
      <c r="C17" s="3">
        <v>16</v>
      </c>
      <c r="D17" s="2">
        <v>1</v>
      </c>
      <c r="E17" s="3" t="s">
        <v>75</v>
      </c>
      <c r="F17" s="2" t="s">
        <v>76</v>
      </c>
      <c r="G17" s="4">
        <v>45637</v>
      </c>
      <c r="H17" s="2">
        <v>-47.9671339</v>
      </c>
      <c r="I17" s="2">
        <v>-22.777845599999999</v>
      </c>
      <c r="J17" s="2" t="s">
        <v>33</v>
      </c>
      <c r="K17" s="4">
        <v>45680</v>
      </c>
      <c r="L17" s="2">
        <f t="shared" si="0"/>
        <v>43</v>
      </c>
      <c r="M17" s="2">
        <v>47</v>
      </c>
      <c r="N17" s="4">
        <v>45734</v>
      </c>
      <c r="O17" s="4">
        <v>45739</v>
      </c>
      <c r="P17" s="2">
        <f t="shared" si="1"/>
        <v>5</v>
      </c>
      <c r="Q17" s="2">
        <v>73</v>
      </c>
      <c r="R17" s="23" t="s">
        <v>72</v>
      </c>
      <c r="S17" s="23" t="s">
        <v>49</v>
      </c>
      <c r="T17" s="2">
        <v>1</v>
      </c>
      <c r="U17" s="4">
        <v>45772</v>
      </c>
      <c r="V17" s="2">
        <f t="shared" si="2"/>
        <v>135</v>
      </c>
      <c r="W17" s="2">
        <v>3</v>
      </c>
      <c r="X17" s="2">
        <v>5</v>
      </c>
      <c r="Y17" s="6">
        <v>10.9</v>
      </c>
      <c r="Z17" s="5">
        <v>0.20799999999999999</v>
      </c>
      <c r="AA17" s="7">
        <f t="shared" si="3"/>
        <v>0.2130206896551724</v>
      </c>
      <c r="AB17" s="7">
        <f t="shared" si="4"/>
        <v>426.04137931034478</v>
      </c>
      <c r="AC17" s="8">
        <f t="shared" si="5"/>
        <v>0.4260413793103448</v>
      </c>
      <c r="AD17" s="6">
        <v>6.81</v>
      </c>
      <c r="AE17" s="6">
        <f t="shared" si="6"/>
        <v>6.9743793103448271</v>
      </c>
      <c r="AF17" s="5">
        <v>2.4E-2</v>
      </c>
      <c r="AG17" s="7">
        <f t="shared" si="7"/>
        <v>49.158620689655173</v>
      </c>
      <c r="AH17" s="18">
        <f t="shared" si="8"/>
        <v>0.11538461538461531</v>
      </c>
      <c r="AI17" s="2"/>
      <c r="AJ17" s="2"/>
      <c r="AK17" s="2"/>
      <c r="AL17" s="2"/>
    </row>
    <row r="18" spans="1:38" x14ac:dyDescent="0.3">
      <c r="A18" s="2">
        <v>4</v>
      </c>
      <c r="B18" s="2">
        <v>4</v>
      </c>
      <c r="C18" s="3">
        <v>17</v>
      </c>
      <c r="D18" s="2">
        <v>1</v>
      </c>
      <c r="E18" s="3" t="s">
        <v>77</v>
      </c>
      <c r="F18" s="2" t="s">
        <v>78</v>
      </c>
      <c r="G18" s="4">
        <v>45637</v>
      </c>
      <c r="H18" s="2">
        <v>-48.127352100000003</v>
      </c>
      <c r="I18" s="2">
        <v>-22.7881395</v>
      </c>
      <c r="J18" s="10" t="s">
        <v>41</v>
      </c>
      <c r="K18" s="4">
        <v>45681</v>
      </c>
      <c r="L18" s="2">
        <f t="shared" si="0"/>
        <v>44</v>
      </c>
      <c r="M18" s="2">
        <v>40</v>
      </c>
      <c r="N18" s="4">
        <v>45726</v>
      </c>
      <c r="O18" s="4">
        <v>45736</v>
      </c>
      <c r="P18" s="2">
        <f t="shared" si="1"/>
        <v>10</v>
      </c>
      <c r="Q18" s="2">
        <v>75</v>
      </c>
      <c r="R18" s="2"/>
      <c r="S18" s="20" t="s">
        <v>38</v>
      </c>
      <c r="T18" s="2">
        <v>1</v>
      </c>
      <c r="U18" s="4">
        <v>45743</v>
      </c>
      <c r="V18" s="2">
        <f t="shared" si="2"/>
        <v>106</v>
      </c>
      <c r="W18" s="2">
        <v>4</v>
      </c>
      <c r="X18" s="2">
        <v>4</v>
      </c>
      <c r="Y18" s="6">
        <v>10.3</v>
      </c>
      <c r="Z18" s="5">
        <v>0.51400000000000001</v>
      </c>
      <c r="AA18" s="7">
        <f t="shared" si="3"/>
        <v>0.52995172413793101</v>
      </c>
      <c r="AB18" s="7">
        <f t="shared" si="4"/>
        <v>1059.903448275862</v>
      </c>
      <c r="AC18" s="8">
        <f t="shared" si="5"/>
        <v>1.059903448275862</v>
      </c>
      <c r="AD18" s="6">
        <v>10.17</v>
      </c>
      <c r="AE18" s="6">
        <f t="shared" si="6"/>
        <v>10.485620689655171</v>
      </c>
      <c r="AF18" s="5">
        <v>0.246</v>
      </c>
      <c r="AG18" s="7">
        <f t="shared" si="7"/>
        <v>507.26896551724133</v>
      </c>
      <c r="AH18" s="18">
        <f t="shared" si="8"/>
        <v>0.47859922178988323</v>
      </c>
      <c r="AI18" s="2"/>
      <c r="AJ18" s="2"/>
      <c r="AK18" s="2"/>
      <c r="AL18" s="2"/>
    </row>
    <row r="19" spans="1:38" x14ac:dyDescent="0.3">
      <c r="A19" s="2">
        <v>4</v>
      </c>
      <c r="B19" s="2">
        <v>3</v>
      </c>
      <c r="C19" s="3">
        <v>18</v>
      </c>
      <c r="D19" s="2">
        <v>1</v>
      </c>
      <c r="E19" s="3" t="s">
        <v>79</v>
      </c>
      <c r="F19" s="2" t="s">
        <v>80</v>
      </c>
      <c r="G19" s="4">
        <v>45637</v>
      </c>
      <c r="H19" s="2">
        <v>-47.9671339</v>
      </c>
      <c r="I19" s="2">
        <v>-22.777845599999999</v>
      </c>
      <c r="J19" s="10" t="s">
        <v>41</v>
      </c>
      <c r="K19" s="4">
        <v>45690</v>
      </c>
      <c r="L19" s="2">
        <f t="shared" si="0"/>
        <v>53</v>
      </c>
      <c r="M19" s="2">
        <v>53</v>
      </c>
      <c r="N19" s="4">
        <v>45731</v>
      </c>
      <c r="O19" s="4">
        <v>45738</v>
      </c>
      <c r="P19" s="2">
        <f t="shared" si="1"/>
        <v>7</v>
      </c>
      <c r="Q19" s="2">
        <v>88</v>
      </c>
      <c r="R19" s="2"/>
      <c r="S19" s="20" t="s">
        <v>38</v>
      </c>
      <c r="T19" s="2">
        <v>1</v>
      </c>
      <c r="U19" s="4">
        <v>45774</v>
      </c>
      <c r="V19" s="2">
        <f t="shared" si="2"/>
        <v>137</v>
      </c>
      <c r="W19" s="2">
        <v>3</v>
      </c>
      <c r="X19" s="2">
        <v>5</v>
      </c>
      <c r="Y19" s="6">
        <v>10.8</v>
      </c>
      <c r="Z19" s="5">
        <v>0.32600000000000001</v>
      </c>
      <c r="AA19" s="7">
        <f t="shared" si="3"/>
        <v>0.3342436781609196</v>
      </c>
      <c r="AB19" s="7">
        <f t="shared" si="4"/>
        <v>668.48735632183923</v>
      </c>
      <c r="AC19" s="8">
        <f t="shared" si="5"/>
        <v>0.6684873563218392</v>
      </c>
      <c r="AD19" s="6">
        <v>10.88</v>
      </c>
      <c r="AE19" s="6">
        <f t="shared" si="6"/>
        <v>11.155126436781611</v>
      </c>
      <c r="AF19" s="5">
        <v>0.08</v>
      </c>
      <c r="AG19" s="7">
        <f t="shared" si="7"/>
        <v>164.0459770114943</v>
      </c>
      <c r="AH19" s="18">
        <f t="shared" si="8"/>
        <v>0.245398773006135</v>
      </c>
      <c r="AI19" s="2"/>
      <c r="AJ19" s="2"/>
      <c r="AK19" s="2"/>
      <c r="AL19" s="2"/>
    </row>
    <row r="20" spans="1:38" x14ac:dyDescent="0.3">
      <c r="A20" s="2">
        <v>4</v>
      </c>
      <c r="B20" s="2">
        <v>2</v>
      </c>
      <c r="C20" s="3">
        <v>19</v>
      </c>
      <c r="D20" s="2">
        <v>1</v>
      </c>
      <c r="E20" s="3" t="s">
        <v>81</v>
      </c>
      <c r="F20" s="2" t="s">
        <v>82</v>
      </c>
      <c r="G20" s="4">
        <v>45637</v>
      </c>
      <c r="H20" s="2">
        <v>-48.097255500000003</v>
      </c>
      <c r="I20" s="2">
        <v>-22.565214699999999</v>
      </c>
      <c r="J20" s="2" t="s">
        <v>33</v>
      </c>
      <c r="K20" s="4">
        <v>45693</v>
      </c>
      <c r="L20" s="2">
        <f t="shared" si="0"/>
        <v>56</v>
      </c>
      <c r="M20" s="2">
        <v>51</v>
      </c>
      <c r="N20" s="4">
        <v>45733</v>
      </c>
      <c r="O20" s="4">
        <v>45741</v>
      </c>
      <c r="P20" s="2">
        <f t="shared" si="1"/>
        <v>8</v>
      </c>
      <c r="Q20" s="2">
        <v>77</v>
      </c>
      <c r="R20" s="23" t="s">
        <v>72</v>
      </c>
      <c r="S20" s="23" t="s">
        <v>49</v>
      </c>
      <c r="T20" s="2">
        <v>3</v>
      </c>
      <c r="U20" s="4">
        <v>45745</v>
      </c>
      <c r="V20" s="2">
        <f t="shared" si="2"/>
        <v>108</v>
      </c>
      <c r="W20" s="2">
        <v>3</v>
      </c>
      <c r="X20" s="2">
        <v>3</v>
      </c>
      <c r="Y20" s="6">
        <v>11.4</v>
      </c>
      <c r="Z20" s="5">
        <v>0.56599999999999995</v>
      </c>
      <c r="AA20" s="7">
        <f t="shared" si="3"/>
        <v>0.57640919540229874</v>
      </c>
      <c r="AB20" s="7">
        <f t="shared" si="4"/>
        <v>1152.8183908045976</v>
      </c>
      <c r="AC20" s="8">
        <f t="shared" si="5"/>
        <v>1.1528183908045977</v>
      </c>
      <c r="AD20" s="6">
        <v>8.5299999999999994</v>
      </c>
      <c r="AE20" s="6">
        <f t="shared" si="6"/>
        <v>8.6868735632183895</v>
      </c>
      <c r="AF20" s="5">
        <v>0.31</v>
      </c>
      <c r="AG20" s="7">
        <f t="shared" si="7"/>
        <v>631.40229885057465</v>
      </c>
      <c r="AH20" s="18">
        <f t="shared" si="8"/>
        <v>0.54770318021201414</v>
      </c>
      <c r="AI20" s="2"/>
      <c r="AJ20" s="2"/>
      <c r="AK20" s="2"/>
      <c r="AL20" s="2" t="s">
        <v>83</v>
      </c>
    </row>
    <row r="21" spans="1:38" x14ac:dyDescent="0.3">
      <c r="A21" s="2">
        <v>4</v>
      </c>
      <c r="B21" s="2">
        <v>1</v>
      </c>
      <c r="C21" s="3">
        <v>20</v>
      </c>
      <c r="D21" s="2">
        <v>1</v>
      </c>
      <c r="E21" s="3" t="s">
        <v>84</v>
      </c>
      <c r="F21" s="2" t="s">
        <v>85</v>
      </c>
      <c r="G21" s="4">
        <v>45637</v>
      </c>
      <c r="H21" s="2">
        <v>-47.9671339</v>
      </c>
      <c r="I21" s="2">
        <v>-22.777845599999999</v>
      </c>
      <c r="J21" s="2" t="s">
        <v>33</v>
      </c>
      <c r="K21" s="4">
        <v>45691</v>
      </c>
      <c r="L21" s="2">
        <f t="shared" si="0"/>
        <v>54</v>
      </c>
      <c r="M21" s="2">
        <v>46</v>
      </c>
      <c r="N21" s="4">
        <v>45734</v>
      </c>
      <c r="O21" s="4">
        <v>45744</v>
      </c>
      <c r="P21" s="2">
        <f t="shared" si="1"/>
        <v>10</v>
      </c>
      <c r="Q21" s="2">
        <v>80</v>
      </c>
      <c r="R21" s="21" t="s">
        <v>34</v>
      </c>
      <c r="S21" s="23" t="s">
        <v>49</v>
      </c>
      <c r="T21" s="2">
        <v>4</v>
      </c>
      <c r="U21" s="4">
        <v>45748</v>
      </c>
      <c r="V21" s="2">
        <f t="shared" si="2"/>
        <v>111</v>
      </c>
      <c r="W21" s="2">
        <v>3</v>
      </c>
      <c r="X21" s="2">
        <v>4</v>
      </c>
      <c r="Y21" s="6">
        <v>10.5</v>
      </c>
      <c r="Z21" s="5">
        <v>0.44600000000000001</v>
      </c>
      <c r="AA21" s="7">
        <f t="shared" si="3"/>
        <v>0.45881609195402301</v>
      </c>
      <c r="AB21" s="7">
        <f t="shared" si="4"/>
        <v>917.63218390804604</v>
      </c>
      <c r="AC21" s="8">
        <f t="shared" si="5"/>
        <v>0.91763218390804602</v>
      </c>
      <c r="AD21" s="6">
        <v>7.92</v>
      </c>
      <c r="AE21" s="6">
        <f t="shared" si="6"/>
        <v>8.1475862068965519</v>
      </c>
      <c r="AF21" s="5">
        <v>0.16800000000000001</v>
      </c>
      <c r="AG21" s="7">
        <f t="shared" si="7"/>
        <v>345.65517241379308</v>
      </c>
      <c r="AH21" s="18">
        <f t="shared" si="8"/>
        <v>0.37668161434977565</v>
      </c>
      <c r="AI21" s="2"/>
      <c r="AJ21" s="2"/>
      <c r="AK21" s="2"/>
      <c r="AL21" s="2"/>
    </row>
    <row r="22" spans="1:38" x14ac:dyDescent="0.3">
      <c r="A22" s="2">
        <v>5</v>
      </c>
      <c r="B22" s="2">
        <v>1</v>
      </c>
      <c r="C22" s="3">
        <v>21</v>
      </c>
      <c r="D22" s="2">
        <v>1</v>
      </c>
      <c r="E22" s="3" t="s">
        <v>86</v>
      </c>
      <c r="F22" s="2" t="s">
        <v>87</v>
      </c>
      <c r="G22" s="4">
        <v>45637</v>
      </c>
      <c r="H22" s="2">
        <v>-48.097255500000003</v>
      </c>
      <c r="I22" s="2">
        <v>-22.565214699999999</v>
      </c>
      <c r="J22" s="2" t="s">
        <v>33</v>
      </c>
      <c r="K22" s="4">
        <v>45689</v>
      </c>
      <c r="L22" s="2">
        <f t="shared" si="0"/>
        <v>52</v>
      </c>
      <c r="M22" s="2">
        <v>54</v>
      </c>
      <c r="N22" s="4">
        <v>45731</v>
      </c>
      <c r="O22" s="4">
        <v>45739</v>
      </c>
      <c r="P22" s="2">
        <f t="shared" si="1"/>
        <v>8</v>
      </c>
      <c r="Q22" s="2">
        <v>85</v>
      </c>
      <c r="R22" s="21" t="s">
        <v>34</v>
      </c>
      <c r="S22" s="21" t="s">
        <v>42</v>
      </c>
      <c r="T22" s="2">
        <v>4</v>
      </c>
      <c r="U22" s="4">
        <v>45760</v>
      </c>
      <c r="V22" s="2">
        <f t="shared" si="2"/>
        <v>123</v>
      </c>
      <c r="W22" s="2">
        <v>3</v>
      </c>
      <c r="X22" s="2">
        <v>4</v>
      </c>
      <c r="Y22" s="6">
        <v>11.4</v>
      </c>
      <c r="Z22" s="5">
        <v>0.442</v>
      </c>
      <c r="AA22" s="7">
        <f t="shared" si="3"/>
        <v>0.45012873563218386</v>
      </c>
      <c r="AB22" s="7">
        <f t="shared" si="4"/>
        <v>900.25747126436772</v>
      </c>
      <c r="AC22" s="8">
        <f t="shared" si="5"/>
        <v>0.90025747126436773</v>
      </c>
      <c r="AD22" s="6">
        <v>7.76</v>
      </c>
      <c r="AE22" s="6">
        <f t="shared" si="6"/>
        <v>7.9027126436781598</v>
      </c>
      <c r="AF22" s="5">
        <v>6.3E-2</v>
      </c>
      <c r="AG22" s="7">
        <f t="shared" si="7"/>
        <v>128.31724137931033</v>
      </c>
      <c r="AH22" s="18">
        <f t="shared" si="8"/>
        <v>0.14253393665158365</v>
      </c>
      <c r="AI22" s="2"/>
      <c r="AJ22" s="2"/>
      <c r="AK22" s="2"/>
      <c r="AL22" s="2"/>
    </row>
    <row r="23" spans="1:38" x14ac:dyDescent="0.3">
      <c r="A23" s="2">
        <v>5</v>
      </c>
      <c r="B23" s="2">
        <v>2</v>
      </c>
      <c r="C23" s="3">
        <v>22</v>
      </c>
      <c r="D23" s="2">
        <v>1</v>
      </c>
      <c r="E23" s="3" t="s">
        <v>88</v>
      </c>
      <c r="F23" s="2" t="s">
        <v>89</v>
      </c>
      <c r="G23" s="4">
        <v>45637</v>
      </c>
      <c r="H23" s="2">
        <v>-48.018796600000002</v>
      </c>
      <c r="I23" s="2">
        <v>-22.846822599999999</v>
      </c>
      <c r="J23" s="2" t="s">
        <v>33</v>
      </c>
      <c r="K23" s="4">
        <v>45691</v>
      </c>
      <c r="L23" s="2">
        <f t="shared" si="0"/>
        <v>54</v>
      </c>
      <c r="M23" s="2">
        <v>60</v>
      </c>
      <c r="N23" s="4">
        <v>45734</v>
      </c>
      <c r="O23" s="4">
        <v>45743</v>
      </c>
      <c r="P23" s="2">
        <f t="shared" si="1"/>
        <v>9</v>
      </c>
      <c r="Q23" s="2">
        <v>80</v>
      </c>
      <c r="R23" s="21" t="s">
        <v>34</v>
      </c>
      <c r="S23" s="23" t="s">
        <v>49</v>
      </c>
      <c r="T23" s="2">
        <v>2</v>
      </c>
      <c r="U23" s="4">
        <v>45770</v>
      </c>
      <c r="V23" s="2">
        <f t="shared" si="2"/>
        <v>133</v>
      </c>
      <c r="W23" s="2">
        <v>3</v>
      </c>
      <c r="X23" s="2">
        <v>5</v>
      </c>
      <c r="Y23" s="6">
        <v>10.1</v>
      </c>
      <c r="Z23" s="5">
        <v>0.28999999999999998</v>
      </c>
      <c r="AA23" s="7">
        <f t="shared" si="3"/>
        <v>0.29966666666666669</v>
      </c>
      <c r="AB23" s="7">
        <f t="shared" si="4"/>
        <v>599.33333333333337</v>
      </c>
      <c r="AC23" s="8">
        <f t="shared" si="5"/>
        <v>0.59933333333333338</v>
      </c>
      <c r="AD23" s="6">
        <v>6.33</v>
      </c>
      <c r="AE23" s="6">
        <f t="shared" si="6"/>
        <v>6.5410000000000004</v>
      </c>
      <c r="AF23" s="5">
        <v>1.2E-2</v>
      </c>
      <c r="AG23" s="7">
        <f t="shared" si="7"/>
        <v>24.800000000000004</v>
      </c>
      <c r="AH23" s="18">
        <f t="shared" si="8"/>
        <v>4.1379310344827558E-2</v>
      </c>
      <c r="AI23" s="2"/>
      <c r="AJ23" s="2"/>
      <c r="AK23" s="2"/>
      <c r="AL23" s="2" t="s">
        <v>90</v>
      </c>
    </row>
    <row r="24" spans="1:38" x14ac:dyDescent="0.3">
      <c r="A24" s="2">
        <v>5</v>
      </c>
      <c r="B24" s="2">
        <v>3</v>
      </c>
      <c r="C24" s="3">
        <v>23</v>
      </c>
      <c r="D24" s="2">
        <v>1</v>
      </c>
      <c r="E24" s="3" t="s">
        <v>91</v>
      </c>
      <c r="F24" s="2" t="s">
        <v>92</v>
      </c>
      <c r="G24" s="4">
        <v>45637</v>
      </c>
      <c r="H24" s="2">
        <v>-48.133559699999999</v>
      </c>
      <c r="I24" s="2">
        <v>-22.7870995</v>
      </c>
      <c r="J24" s="2" t="s">
        <v>33</v>
      </c>
      <c r="K24" s="4">
        <v>45682</v>
      </c>
      <c r="L24" s="2">
        <f t="shared" si="0"/>
        <v>45</v>
      </c>
      <c r="M24" s="2">
        <v>42</v>
      </c>
      <c r="N24" s="4">
        <v>45735</v>
      </c>
      <c r="O24" s="4">
        <v>45742</v>
      </c>
      <c r="P24" s="2">
        <f t="shared" si="1"/>
        <v>7</v>
      </c>
      <c r="Q24" s="2">
        <v>77</v>
      </c>
      <c r="R24" s="20" t="s">
        <v>53</v>
      </c>
      <c r="S24" s="20" t="s">
        <v>38</v>
      </c>
      <c r="T24" s="2">
        <v>1</v>
      </c>
      <c r="U24" s="4">
        <v>45760</v>
      </c>
      <c r="V24" s="2">
        <f t="shared" si="2"/>
        <v>123</v>
      </c>
      <c r="W24" s="2">
        <v>4</v>
      </c>
      <c r="X24" s="2">
        <v>5</v>
      </c>
      <c r="Y24" s="6">
        <v>11.7</v>
      </c>
      <c r="Z24" s="5">
        <v>0.504</v>
      </c>
      <c r="AA24" s="7">
        <f t="shared" si="3"/>
        <v>0.51153103448275861</v>
      </c>
      <c r="AB24" s="7">
        <f t="shared" si="4"/>
        <v>1023.0620689655171</v>
      </c>
      <c r="AC24" s="8">
        <f t="shared" si="5"/>
        <v>1.0230620689655172</v>
      </c>
      <c r="AD24" s="6">
        <v>8.66</v>
      </c>
      <c r="AE24" s="6">
        <f t="shared" si="6"/>
        <v>8.7894022988505753</v>
      </c>
      <c r="AF24" s="5">
        <v>0.10199999999999999</v>
      </c>
      <c r="AG24" s="7">
        <f t="shared" si="7"/>
        <v>207.04827586206895</v>
      </c>
      <c r="AH24" s="18">
        <f t="shared" si="8"/>
        <v>0.20238095238095244</v>
      </c>
      <c r="AI24" s="2"/>
      <c r="AJ24" s="2"/>
      <c r="AK24" s="2"/>
      <c r="AL24" s="2" t="s">
        <v>93</v>
      </c>
    </row>
    <row r="25" spans="1:38" x14ac:dyDescent="0.3">
      <c r="A25" s="2">
        <v>5</v>
      </c>
      <c r="B25" s="2">
        <v>4</v>
      </c>
      <c r="C25" s="3">
        <v>24</v>
      </c>
      <c r="D25" s="2">
        <v>1</v>
      </c>
      <c r="E25" s="3" t="s">
        <v>94</v>
      </c>
      <c r="F25" s="2" t="s">
        <v>95</v>
      </c>
      <c r="G25" s="4">
        <v>45637</v>
      </c>
      <c r="H25" s="2">
        <v>-47.909918400000002</v>
      </c>
      <c r="I25" s="2">
        <v>-23.042069900000001</v>
      </c>
      <c r="J25" s="2" t="s">
        <v>33</v>
      </c>
      <c r="K25" s="4">
        <v>45681</v>
      </c>
      <c r="L25" s="2">
        <f t="shared" si="0"/>
        <v>44</v>
      </c>
      <c r="M25" s="2">
        <v>54</v>
      </c>
      <c r="N25" s="4">
        <v>45724</v>
      </c>
      <c r="O25" s="4">
        <v>45733</v>
      </c>
      <c r="P25" s="2">
        <f t="shared" si="1"/>
        <v>9</v>
      </c>
      <c r="Q25" s="2">
        <v>70</v>
      </c>
      <c r="R25" s="20" t="s">
        <v>53</v>
      </c>
      <c r="S25" s="20" t="s">
        <v>38</v>
      </c>
      <c r="T25" s="2">
        <v>3</v>
      </c>
      <c r="U25" s="4">
        <v>45742</v>
      </c>
      <c r="V25" s="2">
        <f t="shared" si="2"/>
        <v>105</v>
      </c>
      <c r="W25" s="2">
        <v>3</v>
      </c>
      <c r="X25" s="2">
        <v>3</v>
      </c>
      <c r="Y25" s="6">
        <v>11.1</v>
      </c>
      <c r="Z25" s="5">
        <v>0.86599999999999999</v>
      </c>
      <c r="AA25" s="7">
        <f t="shared" si="3"/>
        <v>0.88491264367816092</v>
      </c>
      <c r="AB25" s="7">
        <f t="shared" si="4"/>
        <v>1769.825287356322</v>
      </c>
      <c r="AC25" s="8">
        <f t="shared" si="5"/>
        <v>1.7698252873563221</v>
      </c>
      <c r="AD25" s="6">
        <v>11.6</v>
      </c>
      <c r="AE25" s="6">
        <f t="shared" si="6"/>
        <v>11.853333333333333</v>
      </c>
      <c r="AF25" s="5">
        <v>0.52600000000000002</v>
      </c>
      <c r="AG25" s="7">
        <f t="shared" si="7"/>
        <v>1074.9747126436782</v>
      </c>
      <c r="AH25" s="18">
        <f t="shared" si="8"/>
        <v>0.60739030023094687</v>
      </c>
      <c r="AI25" s="2"/>
      <c r="AJ25" s="2"/>
      <c r="AK25" s="2"/>
      <c r="AL25" s="2"/>
    </row>
    <row r="26" spans="1:38" x14ac:dyDescent="0.3">
      <c r="A26" s="2">
        <v>5</v>
      </c>
      <c r="B26" s="2">
        <v>5</v>
      </c>
      <c r="C26" s="3">
        <v>25</v>
      </c>
      <c r="D26" s="2">
        <v>1</v>
      </c>
      <c r="E26" s="3" t="s">
        <v>96</v>
      </c>
      <c r="F26" s="2" t="s">
        <v>97</v>
      </c>
      <c r="G26" s="4">
        <v>45637</v>
      </c>
      <c r="H26" s="2">
        <v>-48.018796600000002</v>
      </c>
      <c r="I26" s="2">
        <v>-22.846822599999999</v>
      </c>
      <c r="J26" s="10" t="s">
        <v>41</v>
      </c>
      <c r="K26" s="4">
        <v>45692</v>
      </c>
      <c r="L26" s="2">
        <f t="shared" si="0"/>
        <v>55</v>
      </c>
      <c r="M26" s="2">
        <v>58</v>
      </c>
      <c r="N26" s="4">
        <v>45732</v>
      </c>
      <c r="O26" s="4">
        <v>45743</v>
      </c>
      <c r="P26" s="2">
        <f t="shared" si="1"/>
        <v>11</v>
      </c>
      <c r="Q26" s="2">
        <v>78</v>
      </c>
      <c r="R26" s="21" t="s">
        <v>34</v>
      </c>
      <c r="S26" s="22" t="s">
        <v>35</v>
      </c>
      <c r="T26" s="2">
        <v>3</v>
      </c>
      <c r="U26" s="4">
        <v>45760</v>
      </c>
      <c r="V26" s="2">
        <f t="shared" si="2"/>
        <v>123</v>
      </c>
      <c r="W26" s="2">
        <v>3</v>
      </c>
      <c r="X26" s="2">
        <v>5</v>
      </c>
      <c r="Y26" s="6">
        <v>11.6</v>
      </c>
      <c r="Z26" s="5">
        <v>0.34399999999999997</v>
      </c>
      <c r="AA26" s="7">
        <f t="shared" si="3"/>
        <v>0.34953563218390798</v>
      </c>
      <c r="AB26" s="7">
        <f t="shared" si="4"/>
        <v>699.07126436781596</v>
      </c>
      <c r="AC26" s="8">
        <f t="shared" si="5"/>
        <v>0.69907126436781597</v>
      </c>
      <c r="AD26" s="6">
        <v>7.48</v>
      </c>
      <c r="AE26" s="6">
        <f t="shared" si="6"/>
        <v>7.6003678160919543</v>
      </c>
      <c r="AF26" s="5">
        <v>0.03</v>
      </c>
      <c r="AG26" s="7">
        <f t="shared" si="7"/>
        <v>60.965517241379303</v>
      </c>
      <c r="AH26" s="18">
        <f t="shared" si="8"/>
        <v>8.7209302325581439E-2</v>
      </c>
      <c r="AI26" s="2"/>
      <c r="AJ26" s="2"/>
      <c r="AK26" s="2"/>
      <c r="AL26" s="2"/>
    </row>
    <row r="27" spans="1:38" x14ac:dyDescent="0.3">
      <c r="A27" s="2">
        <v>6</v>
      </c>
      <c r="B27" s="2">
        <v>5</v>
      </c>
      <c r="C27" s="3">
        <v>26</v>
      </c>
      <c r="D27" s="2">
        <v>1</v>
      </c>
      <c r="E27" s="3" t="s">
        <v>98</v>
      </c>
      <c r="F27" s="2" t="s">
        <v>99</v>
      </c>
      <c r="G27" s="4">
        <v>45637</v>
      </c>
      <c r="H27" s="2">
        <v>-47.9671339</v>
      </c>
      <c r="I27" s="2">
        <v>-22.777845599999999</v>
      </c>
      <c r="J27" s="10" t="s">
        <v>41</v>
      </c>
      <c r="K27" s="4">
        <v>45681</v>
      </c>
      <c r="L27" s="2">
        <f t="shared" si="0"/>
        <v>44</v>
      </c>
      <c r="M27" s="2">
        <v>38</v>
      </c>
      <c r="N27" s="4">
        <v>45718</v>
      </c>
      <c r="O27" s="4">
        <v>45734</v>
      </c>
      <c r="P27" s="2">
        <f t="shared" si="1"/>
        <v>16</v>
      </c>
      <c r="Q27" s="2">
        <v>86</v>
      </c>
      <c r="R27" s="20" t="s">
        <v>53</v>
      </c>
      <c r="S27" s="20" t="s">
        <v>38</v>
      </c>
      <c r="T27" s="2">
        <v>1</v>
      </c>
      <c r="U27" s="4">
        <v>45773</v>
      </c>
      <c r="V27" s="2">
        <f t="shared" si="2"/>
        <v>136</v>
      </c>
      <c r="W27" s="2">
        <v>5</v>
      </c>
      <c r="X27" s="2">
        <v>2</v>
      </c>
      <c r="Y27" s="6">
        <v>10.6</v>
      </c>
      <c r="Z27" s="5">
        <v>0.57999999999999996</v>
      </c>
      <c r="AA27" s="7">
        <f t="shared" si="3"/>
        <v>0.59599999999999997</v>
      </c>
      <c r="AB27" s="7">
        <f t="shared" si="4"/>
        <v>1192</v>
      </c>
      <c r="AC27" s="8">
        <f t="shared" si="5"/>
        <v>1.1919999999999999</v>
      </c>
      <c r="AD27" s="6">
        <v>10.47</v>
      </c>
      <c r="AE27" s="6">
        <f t="shared" si="6"/>
        <v>10.758827586206898</v>
      </c>
      <c r="AF27" s="5">
        <v>0.26200000000000001</v>
      </c>
      <c r="AG27" s="7">
        <f t="shared" si="7"/>
        <v>538.45517241379309</v>
      </c>
      <c r="AH27" s="18">
        <f t="shared" si="8"/>
        <v>0.4517241379310345</v>
      </c>
      <c r="AI27" s="2"/>
      <c r="AJ27" s="2"/>
      <c r="AK27" s="2"/>
      <c r="AL27" s="2"/>
    </row>
    <row r="28" spans="1:38" x14ac:dyDescent="0.3">
      <c r="A28" s="2">
        <v>6</v>
      </c>
      <c r="B28" s="2">
        <v>4</v>
      </c>
      <c r="C28" s="3">
        <v>27</v>
      </c>
      <c r="D28" s="2">
        <v>1</v>
      </c>
      <c r="E28" s="3" t="s">
        <v>100</v>
      </c>
      <c r="F28" s="2" t="s">
        <v>101</v>
      </c>
      <c r="G28" s="4">
        <v>45637</v>
      </c>
      <c r="H28" s="2">
        <v>-48.069345800000001</v>
      </c>
      <c r="I28" s="2">
        <v>-22.566921700000002</v>
      </c>
      <c r="J28" s="2" t="s">
        <v>33</v>
      </c>
      <c r="K28" s="4">
        <v>45693</v>
      </c>
      <c r="L28" s="2">
        <f t="shared" si="0"/>
        <v>56</v>
      </c>
      <c r="M28" s="2">
        <v>61</v>
      </c>
      <c r="N28" s="4">
        <v>45735</v>
      </c>
      <c r="O28" s="4">
        <v>45744</v>
      </c>
      <c r="P28" s="2">
        <f t="shared" si="1"/>
        <v>9</v>
      </c>
      <c r="Q28" s="2">
        <v>87</v>
      </c>
      <c r="R28" s="21" t="s">
        <v>34</v>
      </c>
      <c r="S28" s="23" t="s">
        <v>49</v>
      </c>
      <c r="T28" s="2">
        <v>5</v>
      </c>
      <c r="U28" s="4">
        <v>45772</v>
      </c>
      <c r="V28" s="2">
        <f t="shared" si="2"/>
        <v>135</v>
      </c>
      <c r="W28" s="2">
        <v>3</v>
      </c>
      <c r="X28" s="2">
        <v>5</v>
      </c>
      <c r="Y28" s="6">
        <v>10.3</v>
      </c>
      <c r="Z28" s="5">
        <v>0.108</v>
      </c>
      <c r="AA28" s="7">
        <f t="shared" si="3"/>
        <v>0.11135172413793103</v>
      </c>
      <c r="AB28" s="7">
        <f t="shared" si="4"/>
        <v>222.70344827586206</v>
      </c>
      <c r="AC28" s="8">
        <f t="shared" si="5"/>
        <v>0.22270344827586205</v>
      </c>
      <c r="AD28" s="6">
        <v>4.54</v>
      </c>
      <c r="AE28" s="6">
        <f t="shared" si="6"/>
        <v>4.6808965517241381</v>
      </c>
      <c r="AF28" s="5">
        <v>2E-3</v>
      </c>
      <c r="AG28" s="7">
        <f t="shared" si="7"/>
        <v>4.1241379310344826</v>
      </c>
      <c r="AH28" s="18">
        <f t="shared" si="8"/>
        <v>1.851851851851849E-2</v>
      </c>
      <c r="AI28" s="2"/>
      <c r="AJ28" s="2"/>
      <c r="AK28" s="2"/>
      <c r="AL28" s="2" t="s">
        <v>66</v>
      </c>
    </row>
    <row r="29" spans="1:38" x14ac:dyDescent="0.3">
      <c r="A29" s="2">
        <v>6</v>
      </c>
      <c r="B29" s="2">
        <v>3</v>
      </c>
      <c r="C29" s="3">
        <v>28</v>
      </c>
      <c r="D29" s="2">
        <v>1</v>
      </c>
      <c r="E29" s="3" t="s">
        <v>102</v>
      </c>
      <c r="F29" s="2" t="s">
        <v>103</v>
      </c>
      <c r="G29" s="4">
        <v>45637</v>
      </c>
      <c r="H29" s="2">
        <v>-47.9671339</v>
      </c>
      <c r="I29" s="2">
        <v>-22.777845599999999</v>
      </c>
      <c r="J29" s="10" t="s">
        <v>41</v>
      </c>
      <c r="K29" s="4">
        <v>45680</v>
      </c>
      <c r="L29" s="2">
        <f t="shared" si="0"/>
        <v>43</v>
      </c>
      <c r="M29" s="2">
        <v>52</v>
      </c>
      <c r="N29" s="4">
        <v>45727</v>
      </c>
      <c r="O29" s="4">
        <v>45737</v>
      </c>
      <c r="P29" s="2">
        <f t="shared" si="1"/>
        <v>10</v>
      </c>
      <c r="Q29" s="2">
        <v>77</v>
      </c>
      <c r="R29" s="20" t="s">
        <v>53</v>
      </c>
      <c r="S29" s="20" t="s">
        <v>38</v>
      </c>
      <c r="T29" s="2">
        <v>1</v>
      </c>
      <c r="U29" s="4">
        <v>45748</v>
      </c>
      <c r="V29" s="2">
        <f t="shared" si="2"/>
        <v>111</v>
      </c>
      <c r="W29" s="2">
        <v>4</v>
      </c>
      <c r="X29" s="2">
        <v>4</v>
      </c>
      <c r="Y29" s="6">
        <v>11.1</v>
      </c>
      <c r="Z29" s="5">
        <v>0.71599999999999997</v>
      </c>
      <c r="AA29" s="7">
        <f t="shared" si="3"/>
        <v>0.73163678160919543</v>
      </c>
      <c r="AB29" s="7">
        <f t="shared" si="4"/>
        <v>1463.2735632183908</v>
      </c>
      <c r="AC29" s="8">
        <f t="shared" si="5"/>
        <v>1.4632735632183909</v>
      </c>
      <c r="AD29" s="6">
        <v>11.42</v>
      </c>
      <c r="AE29" s="6">
        <f t="shared" si="6"/>
        <v>11.669402298850574</v>
      </c>
      <c r="AF29" s="5">
        <v>0.33200000000000002</v>
      </c>
      <c r="AG29" s="7">
        <f t="shared" si="7"/>
        <v>678.50114942528739</v>
      </c>
      <c r="AH29" s="18">
        <f t="shared" si="8"/>
        <v>0.46368715083798884</v>
      </c>
      <c r="AI29" s="2"/>
      <c r="AJ29" s="2"/>
      <c r="AK29" s="2"/>
      <c r="AL29" s="2"/>
    </row>
    <row r="30" spans="1:38" x14ac:dyDescent="0.3">
      <c r="A30" s="2">
        <v>6</v>
      </c>
      <c r="B30" s="2">
        <v>2</v>
      </c>
      <c r="C30" s="3">
        <v>29</v>
      </c>
      <c r="D30" s="2">
        <v>1</v>
      </c>
      <c r="E30" s="3" t="s">
        <v>104</v>
      </c>
      <c r="F30" s="2" t="s">
        <v>105</v>
      </c>
      <c r="G30" s="4">
        <v>45637</v>
      </c>
      <c r="H30" s="2">
        <v>-47.909918400000002</v>
      </c>
      <c r="I30" s="2">
        <v>-23.042069900000001</v>
      </c>
      <c r="J30" s="2" t="s">
        <v>33</v>
      </c>
      <c r="K30" s="4">
        <v>45682</v>
      </c>
      <c r="L30" s="2">
        <f t="shared" si="0"/>
        <v>45</v>
      </c>
      <c r="M30" s="2">
        <v>45</v>
      </c>
      <c r="N30" s="4">
        <v>45725</v>
      </c>
      <c r="O30" s="4">
        <v>45734</v>
      </c>
      <c r="P30" s="2">
        <f t="shared" si="1"/>
        <v>9</v>
      </c>
      <c r="Q30" s="2">
        <v>69</v>
      </c>
      <c r="R30" s="20" t="s">
        <v>53</v>
      </c>
      <c r="S30" s="20" t="s">
        <v>38</v>
      </c>
      <c r="T30" s="2">
        <v>1</v>
      </c>
      <c r="U30" s="4">
        <v>45743</v>
      </c>
      <c r="V30" s="2">
        <f t="shared" si="2"/>
        <v>106</v>
      </c>
      <c r="W30" s="2">
        <v>4</v>
      </c>
      <c r="X30" s="2">
        <v>2</v>
      </c>
      <c r="Y30" s="6">
        <v>11.1</v>
      </c>
      <c r="Z30" s="5">
        <v>0.83</v>
      </c>
      <c r="AA30" s="7">
        <f t="shared" si="3"/>
        <v>0.84812643678160915</v>
      </c>
      <c r="AB30" s="7">
        <f t="shared" si="4"/>
        <v>1696.2528735632181</v>
      </c>
      <c r="AC30" s="8">
        <f t="shared" si="5"/>
        <v>1.6962528735632181</v>
      </c>
      <c r="AD30" s="6">
        <v>10.65</v>
      </c>
      <c r="AE30" s="6">
        <f t="shared" si="6"/>
        <v>10.882586206896551</v>
      </c>
      <c r="AF30" s="5">
        <v>0.47399999999999998</v>
      </c>
      <c r="AG30" s="7">
        <f t="shared" si="7"/>
        <v>968.703448275862</v>
      </c>
      <c r="AH30" s="18">
        <f t="shared" si="8"/>
        <v>0.57108433734939767</v>
      </c>
      <c r="AI30" s="2"/>
      <c r="AJ30" s="2"/>
      <c r="AK30" s="2"/>
      <c r="AL30" s="2"/>
    </row>
    <row r="31" spans="1:38" x14ac:dyDescent="0.3">
      <c r="A31" s="2">
        <v>6</v>
      </c>
      <c r="B31" s="2">
        <v>1</v>
      </c>
      <c r="C31" s="3">
        <v>30</v>
      </c>
      <c r="D31" s="2">
        <v>1</v>
      </c>
      <c r="E31" s="3" t="s">
        <v>106</v>
      </c>
      <c r="F31" s="2" t="s">
        <v>107</v>
      </c>
      <c r="G31" s="4">
        <v>45637</v>
      </c>
      <c r="H31" s="2">
        <v>-47.9671339</v>
      </c>
      <c r="I31" s="2">
        <v>-22.777845599999999</v>
      </c>
      <c r="J31" s="10" t="s">
        <v>41</v>
      </c>
      <c r="K31" s="4">
        <v>45689</v>
      </c>
      <c r="L31" s="2">
        <f t="shared" si="0"/>
        <v>52</v>
      </c>
      <c r="M31" s="2">
        <v>54</v>
      </c>
      <c r="N31" s="4">
        <v>45734</v>
      </c>
      <c r="O31" s="4">
        <v>45743</v>
      </c>
      <c r="P31" s="2">
        <f t="shared" si="1"/>
        <v>9</v>
      </c>
      <c r="Q31" s="2">
        <v>71</v>
      </c>
      <c r="R31" s="2"/>
      <c r="S31" s="2"/>
      <c r="T31" s="2">
        <v>1</v>
      </c>
      <c r="U31" s="4">
        <v>45776</v>
      </c>
      <c r="V31" s="2">
        <f t="shared" si="2"/>
        <v>139</v>
      </c>
      <c r="W31" s="2">
        <v>4</v>
      </c>
      <c r="X31" s="2">
        <v>5</v>
      </c>
      <c r="Y31" s="6">
        <v>11.7</v>
      </c>
      <c r="Z31" s="5">
        <v>0.224</v>
      </c>
      <c r="AA31" s="7">
        <f t="shared" si="3"/>
        <v>0.22734712643678162</v>
      </c>
      <c r="AB31" s="7">
        <f t="shared" si="4"/>
        <v>454.69425287356324</v>
      </c>
      <c r="AC31" s="8">
        <f t="shared" si="5"/>
        <v>0.45469425287356324</v>
      </c>
      <c r="AD31" s="6">
        <v>5.5</v>
      </c>
      <c r="AE31" s="6">
        <f t="shared" si="6"/>
        <v>5.5821839080459768</v>
      </c>
      <c r="AF31" s="5">
        <v>2.0999999999999999E-3</v>
      </c>
      <c r="AG31" s="7">
        <f t="shared" si="7"/>
        <v>4.2627586206896551</v>
      </c>
      <c r="AH31" s="18">
        <f t="shared" si="8"/>
        <v>9.3750000000000222E-3</v>
      </c>
      <c r="AI31" s="2"/>
      <c r="AJ31" s="2"/>
      <c r="AK31" s="2"/>
      <c r="AL31" s="2" t="s">
        <v>66</v>
      </c>
    </row>
    <row r="32" spans="1:38" x14ac:dyDescent="0.3">
      <c r="A32" s="2">
        <v>7</v>
      </c>
      <c r="B32" s="2">
        <v>1</v>
      </c>
      <c r="C32" s="3">
        <v>31</v>
      </c>
      <c r="D32" s="2">
        <v>2</v>
      </c>
      <c r="E32" s="3" t="s">
        <v>62</v>
      </c>
      <c r="F32" s="2" t="s">
        <v>63</v>
      </c>
      <c r="G32" s="4">
        <v>45637</v>
      </c>
      <c r="H32" s="2">
        <v>-47.9671339</v>
      </c>
      <c r="I32" s="2">
        <v>-22.777845599999999</v>
      </c>
      <c r="J32" s="2" t="s">
        <v>33</v>
      </c>
      <c r="K32" s="4">
        <v>45690</v>
      </c>
      <c r="L32" s="2">
        <f t="shared" si="0"/>
        <v>53</v>
      </c>
      <c r="M32" s="2">
        <v>56</v>
      </c>
      <c r="N32" s="4">
        <v>45735</v>
      </c>
      <c r="O32" s="4">
        <v>45743</v>
      </c>
      <c r="P32" s="2">
        <f t="shared" si="1"/>
        <v>8</v>
      </c>
      <c r="Q32" s="2">
        <v>80</v>
      </c>
      <c r="R32" s="21" t="s">
        <v>34</v>
      </c>
      <c r="S32" s="23" t="s">
        <v>49</v>
      </c>
      <c r="T32" s="2">
        <v>5</v>
      </c>
      <c r="U32" s="4">
        <v>45761</v>
      </c>
      <c r="V32" s="2">
        <f t="shared" si="2"/>
        <v>124</v>
      </c>
      <c r="W32" s="2">
        <v>3</v>
      </c>
      <c r="X32" s="2">
        <v>5</v>
      </c>
      <c r="Y32" s="6">
        <v>11.6</v>
      </c>
      <c r="Z32" s="5">
        <v>0.47399999999999998</v>
      </c>
      <c r="AA32" s="7">
        <f t="shared" si="3"/>
        <v>0.4816275862068965</v>
      </c>
      <c r="AB32" s="7">
        <f t="shared" si="4"/>
        <v>963.25517241379305</v>
      </c>
      <c r="AC32" s="8">
        <f t="shared" si="5"/>
        <v>0.96325517241379299</v>
      </c>
      <c r="AD32" s="6">
        <v>6.49</v>
      </c>
      <c r="AE32" s="6">
        <f t="shared" si="6"/>
        <v>6.5944367816091951</v>
      </c>
      <c r="AF32" s="5">
        <v>7.0000000000000007E-2</v>
      </c>
      <c r="AG32" s="7">
        <f t="shared" si="7"/>
        <v>142.2528735632184</v>
      </c>
      <c r="AH32" s="18">
        <f t="shared" si="8"/>
        <v>0.14767932489451474</v>
      </c>
      <c r="AI32" s="2"/>
      <c r="AJ32" s="2"/>
      <c r="AK32" s="2"/>
      <c r="AL32" s="2" t="s">
        <v>108</v>
      </c>
    </row>
    <row r="33" spans="1:38" x14ac:dyDescent="0.3">
      <c r="A33" s="2">
        <v>7</v>
      </c>
      <c r="B33" s="2">
        <v>2</v>
      </c>
      <c r="C33" s="3">
        <v>32</v>
      </c>
      <c r="D33" s="2">
        <v>2</v>
      </c>
      <c r="E33" s="3" t="s">
        <v>36</v>
      </c>
      <c r="F33" s="2" t="s">
        <v>37</v>
      </c>
      <c r="G33" s="4">
        <v>45637</v>
      </c>
      <c r="H33" s="2">
        <v>-47.9671339</v>
      </c>
      <c r="I33" s="2">
        <v>-22.777845599999999</v>
      </c>
      <c r="J33" s="2" t="s">
        <v>33</v>
      </c>
      <c r="K33" s="4">
        <v>45682</v>
      </c>
      <c r="L33" s="2">
        <f t="shared" si="0"/>
        <v>45</v>
      </c>
      <c r="M33" s="2">
        <v>35</v>
      </c>
      <c r="N33" s="4">
        <v>45731</v>
      </c>
      <c r="O33" s="4">
        <v>45735</v>
      </c>
      <c r="P33" s="2">
        <f t="shared" si="1"/>
        <v>4</v>
      </c>
      <c r="Q33" s="2">
        <v>84</v>
      </c>
      <c r="R33" s="20" t="s">
        <v>53</v>
      </c>
      <c r="S33" s="20" t="s">
        <v>38</v>
      </c>
      <c r="T33" s="2">
        <v>1</v>
      </c>
      <c r="U33" s="4">
        <v>45742</v>
      </c>
      <c r="V33" s="2">
        <f t="shared" si="2"/>
        <v>105</v>
      </c>
      <c r="W33" s="2">
        <v>4</v>
      </c>
      <c r="X33" s="2">
        <v>4</v>
      </c>
      <c r="Y33" s="6">
        <v>9.6</v>
      </c>
      <c r="Z33" s="5">
        <v>0.83199999999999996</v>
      </c>
      <c r="AA33" s="7">
        <f t="shared" si="3"/>
        <v>0.86451494252873573</v>
      </c>
      <c r="AB33" s="7">
        <f t="shared" si="4"/>
        <v>1729.0298850574713</v>
      </c>
      <c r="AC33" s="8">
        <f t="shared" si="5"/>
        <v>1.7290298850574712</v>
      </c>
      <c r="AD33" s="6">
        <v>11.34</v>
      </c>
      <c r="AE33" s="6">
        <f t="shared" si="6"/>
        <v>11.783172413793105</v>
      </c>
      <c r="AF33" s="5">
        <v>0.51700000000000002</v>
      </c>
      <c r="AG33" s="7">
        <f t="shared" si="7"/>
        <v>1074.409195402299</v>
      </c>
      <c r="AH33" s="18">
        <f t="shared" si="8"/>
        <v>0.62139423076923084</v>
      </c>
      <c r="AI33" s="2"/>
      <c r="AJ33" s="2"/>
      <c r="AK33" s="2"/>
      <c r="AL33" s="2"/>
    </row>
    <row r="34" spans="1:38" x14ac:dyDescent="0.3">
      <c r="A34" s="2">
        <v>7</v>
      </c>
      <c r="B34" s="2">
        <v>3</v>
      </c>
      <c r="C34" s="3">
        <v>33</v>
      </c>
      <c r="D34" s="2">
        <v>2</v>
      </c>
      <c r="E34" s="3" t="s">
        <v>98</v>
      </c>
      <c r="F34" s="2" t="s">
        <v>99</v>
      </c>
      <c r="G34" s="4">
        <v>45637</v>
      </c>
      <c r="H34" s="2">
        <v>-48.130145400000004</v>
      </c>
      <c r="I34" s="2">
        <v>-22.7962977</v>
      </c>
      <c r="J34" s="10" t="s">
        <v>41</v>
      </c>
      <c r="K34" s="4">
        <v>45680</v>
      </c>
      <c r="L34" s="2">
        <f t="shared" ref="L34:L65" si="9">K34-G34</f>
        <v>43</v>
      </c>
      <c r="M34" s="2">
        <v>43</v>
      </c>
      <c r="N34" s="4">
        <v>45721</v>
      </c>
      <c r="O34" s="4">
        <v>45735</v>
      </c>
      <c r="P34" s="2">
        <f t="shared" ref="P34:P65" si="10">O34-N34</f>
        <v>14</v>
      </c>
      <c r="Q34" s="2">
        <v>84</v>
      </c>
      <c r="R34" s="20" t="s">
        <v>53</v>
      </c>
      <c r="S34" s="20" t="s">
        <v>38</v>
      </c>
      <c r="T34" s="2">
        <v>2</v>
      </c>
      <c r="U34" s="4">
        <v>45741</v>
      </c>
      <c r="V34" s="2">
        <f t="shared" ref="V34:V65" si="11">U34-G34</f>
        <v>104</v>
      </c>
      <c r="W34" s="2">
        <v>4</v>
      </c>
      <c r="X34" s="2">
        <v>1</v>
      </c>
      <c r="Y34" s="6">
        <v>11.7</v>
      </c>
      <c r="Z34" s="5">
        <v>0.746</v>
      </c>
      <c r="AA34" s="7">
        <f t="shared" ref="AA34:AA65" si="12">(Z34*((100-Y34)/(100-13)))</f>
        <v>0.75714712643678161</v>
      </c>
      <c r="AB34" s="7">
        <f t="shared" ref="AB34:AB65" si="13">(Z34*((100-Y34)/(100-13))/5)*10000</f>
        <v>1514.2942528735632</v>
      </c>
      <c r="AC34" s="8">
        <f t="shared" ref="AC34:AC65" si="14">AB34/1000</f>
        <v>1.5142942528735632</v>
      </c>
      <c r="AD34" s="6">
        <v>10.65</v>
      </c>
      <c r="AE34" s="6">
        <f t="shared" ref="AE34:AE65" si="15">(AD34*((100-Y34)/(100-13)))</f>
        <v>10.809137931034483</v>
      </c>
      <c r="AF34" s="5">
        <v>0.41299999999999998</v>
      </c>
      <c r="AG34" s="7">
        <f t="shared" ref="AG34:AG65" si="16">(AF34*((100-Y34)/(100-13))/5)*10000</f>
        <v>838.34252873563207</v>
      </c>
      <c r="AH34" s="18">
        <f t="shared" ref="AH34:AH65" si="17">((1-(AB34 -AG34)/AB34))</f>
        <v>0.55361930294906159</v>
      </c>
      <c r="AI34" s="2"/>
      <c r="AJ34" s="2"/>
      <c r="AK34" s="2"/>
      <c r="AL34" s="2"/>
    </row>
    <row r="35" spans="1:38" x14ac:dyDescent="0.3">
      <c r="A35" s="2">
        <v>7</v>
      </c>
      <c r="B35" s="2">
        <v>4</v>
      </c>
      <c r="C35" s="3">
        <v>34</v>
      </c>
      <c r="D35" s="2">
        <v>2</v>
      </c>
      <c r="E35" s="3" t="s">
        <v>77</v>
      </c>
      <c r="F35" s="2" t="s">
        <v>78</v>
      </c>
      <c r="G35" s="4">
        <v>45637</v>
      </c>
      <c r="H35" s="2">
        <v>-47.9671339</v>
      </c>
      <c r="I35" s="2">
        <v>-22.777845599999999</v>
      </c>
      <c r="J35" s="10" t="s">
        <v>41</v>
      </c>
      <c r="K35" s="4">
        <v>45681</v>
      </c>
      <c r="L35" s="2">
        <f t="shared" si="9"/>
        <v>44</v>
      </c>
      <c r="M35" s="2">
        <v>37</v>
      </c>
      <c r="N35" s="4">
        <v>45725</v>
      </c>
      <c r="O35" s="4">
        <v>45737</v>
      </c>
      <c r="P35" s="2">
        <f t="shared" si="10"/>
        <v>12</v>
      </c>
      <c r="Q35" s="2">
        <v>80</v>
      </c>
      <c r="R35" s="2"/>
      <c r="S35" s="20" t="s">
        <v>38</v>
      </c>
      <c r="T35" s="2">
        <v>1</v>
      </c>
      <c r="U35" s="4">
        <v>45742</v>
      </c>
      <c r="V35" s="2">
        <f t="shared" si="11"/>
        <v>105</v>
      </c>
      <c r="W35" s="2">
        <v>4</v>
      </c>
      <c r="X35" s="2">
        <v>2</v>
      </c>
      <c r="Y35" s="6">
        <v>10.9</v>
      </c>
      <c r="Z35" s="5">
        <v>0.69599999999999995</v>
      </c>
      <c r="AA35" s="7">
        <f t="shared" si="12"/>
        <v>0.71279999999999988</v>
      </c>
      <c r="AB35" s="7">
        <f t="shared" si="13"/>
        <v>1425.5999999999997</v>
      </c>
      <c r="AC35" s="8">
        <f t="shared" si="14"/>
        <v>1.4255999999999998</v>
      </c>
      <c r="AD35" s="6">
        <v>10.83</v>
      </c>
      <c r="AE35" s="6">
        <f t="shared" si="15"/>
        <v>11.091413793103447</v>
      </c>
      <c r="AF35" s="5">
        <v>0.38200000000000001</v>
      </c>
      <c r="AG35" s="7">
        <f t="shared" si="16"/>
        <v>782.44137931034481</v>
      </c>
      <c r="AH35" s="18">
        <f t="shared" si="17"/>
        <v>0.54885057471264376</v>
      </c>
      <c r="AI35" s="2"/>
      <c r="AJ35" s="2"/>
      <c r="AK35" s="2"/>
      <c r="AL35" s="2"/>
    </row>
    <row r="36" spans="1:38" x14ac:dyDescent="0.3">
      <c r="A36" s="2">
        <v>7</v>
      </c>
      <c r="B36" s="2">
        <v>5</v>
      </c>
      <c r="C36" s="3">
        <v>35</v>
      </c>
      <c r="D36" s="2">
        <v>2</v>
      </c>
      <c r="E36" s="3" t="s">
        <v>39</v>
      </c>
      <c r="F36" s="2" t="s">
        <v>40</v>
      </c>
      <c r="G36" s="4">
        <v>45637</v>
      </c>
      <c r="H36" s="2">
        <v>-48.116180300000003</v>
      </c>
      <c r="I36" s="2">
        <v>-22.7773</v>
      </c>
      <c r="J36" s="10" t="s">
        <v>41</v>
      </c>
      <c r="K36" s="4">
        <v>45690</v>
      </c>
      <c r="L36" s="2">
        <f t="shared" si="9"/>
        <v>53</v>
      </c>
      <c r="M36" s="2">
        <v>58</v>
      </c>
      <c r="N36" s="4">
        <v>45733</v>
      </c>
      <c r="O36" s="4">
        <v>45741</v>
      </c>
      <c r="P36" s="2">
        <f t="shared" si="10"/>
        <v>8</v>
      </c>
      <c r="Q36" s="2">
        <v>92</v>
      </c>
      <c r="R36" s="21" t="s">
        <v>34</v>
      </c>
      <c r="S36" s="23" t="s">
        <v>49</v>
      </c>
      <c r="T36" s="2">
        <v>2</v>
      </c>
      <c r="U36" s="4">
        <v>45773</v>
      </c>
      <c r="V36" s="2">
        <f t="shared" si="11"/>
        <v>136</v>
      </c>
      <c r="W36" s="2">
        <v>4</v>
      </c>
      <c r="X36" s="2">
        <v>5</v>
      </c>
      <c r="Y36" s="6">
        <v>11.8</v>
      </c>
      <c r="Z36" s="5">
        <v>0.32200000000000001</v>
      </c>
      <c r="AA36" s="7">
        <f t="shared" si="12"/>
        <v>0.32644137931034484</v>
      </c>
      <c r="AB36" s="7">
        <f t="shared" si="13"/>
        <v>652.88275862068963</v>
      </c>
      <c r="AC36" s="8">
        <f t="shared" si="14"/>
        <v>0.65288275862068967</v>
      </c>
      <c r="AD36" s="6">
        <v>6.9</v>
      </c>
      <c r="AE36" s="6">
        <f t="shared" si="15"/>
        <v>6.9951724137931039</v>
      </c>
      <c r="AF36" s="5">
        <v>2.4E-2</v>
      </c>
      <c r="AG36" s="7">
        <f t="shared" si="16"/>
        <v>48.66206896551725</v>
      </c>
      <c r="AH36" s="18">
        <f t="shared" si="17"/>
        <v>7.4534161490683259E-2</v>
      </c>
      <c r="AI36" s="2"/>
      <c r="AJ36" s="2"/>
      <c r="AK36" s="2"/>
      <c r="AL36" s="2"/>
    </row>
    <row r="37" spans="1:38" x14ac:dyDescent="0.3">
      <c r="A37" s="2">
        <v>8</v>
      </c>
      <c r="B37" s="2">
        <v>5</v>
      </c>
      <c r="C37" s="3">
        <v>36</v>
      </c>
      <c r="D37" s="2">
        <v>2</v>
      </c>
      <c r="E37" s="3" t="s">
        <v>51</v>
      </c>
      <c r="F37" s="2" t="s">
        <v>52</v>
      </c>
      <c r="G37" s="4">
        <v>45637</v>
      </c>
      <c r="H37" s="2">
        <v>-47.9671339</v>
      </c>
      <c r="I37" s="2">
        <v>-22.777845599999999</v>
      </c>
      <c r="J37" s="2" t="s">
        <v>33</v>
      </c>
      <c r="K37" s="4">
        <v>45689</v>
      </c>
      <c r="L37" s="2">
        <f t="shared" si="9"/>
        <v>52</v>
      </c>
      <c r="M37" s="2">
        <v>62</v>
      </c>
      <c r="N37" s="4">
        <v>45729</v>
      </c>
      <c r="O37" s="4">
        <v>45737</v>
      </c>
      <c r="P37" s="2">
        <f t="shared" si="10"/>
        <v>8</v>
      </c>
      <c r="Q37" s="2">
        <v>85</v>
      </c>
      <c r="R37" s="20" t="s">
        <v>53</v>
      </c>
      <c r="S37" s="20" t="s">
        <v>38</v>
      </c>
      <c r="T37" s="2">
        <v>3</v>
      </c>
      <c r="U37" s="4">
        <v>45743</v>
      </c>
      <c r="V37" s="2">
        <f t="shared" si="11"/>
        <v>106</v>
      </c>
      <c r="W37" s="2">
        <v>4</v>
      </c>
      <c r="X37" s="2">
        <v>3</v>
      </c>
      <c r="Y37" s="6">
        <v>10.3</v>
      </c>
      <c r="Z37" s="5">
        <v>0.70799999999999996</v>
      </c>
      <c r="AA37" s="7">
        <f t="shared" si="12"/>
        <v>0.7299724137931034</v>
      </c>
      <c r="AB37" s="7">
        <f t="shared" si="13"/>
        <v>1459.9448275862067</v>
      </c>
      <c r="AC37" s="8">
        <f t="shared" si="14"/>
        <v>1.4599448275862066</v>
      </c>
      <c r="AD37" s="6">
        <v>11.05</v>
      </c>
      <c r="AE37" s="6">
        <f t="shared" si="15"/>
        <v>11.392931034482759</v>
      </c>
      <c r="AF37" s="5">
        <v>0.253</v>
      </c>
      <c r="AG37" s="7">
        <f t="shared" si="16"/>
        <v>521.703448275862</v>
      </c>
      <c r="AH37" s="18">
        <f t="shared" si="17"/>
        <v>0.35734463276836159</v>
      </c>
      <c r="AI37" s="2"/>
      <c r="AJ37" s="2"/>
      <c r="AK37" s="2"/>
      <c r="AL37" s="2"/>
    </row>
    <row r="38" spans="1:38" x14ac:dyDescent="0.3">
      <c r="A38" s="2">
        <v>8</v>
      </c>
      <c r="B38" s="2">
        <v>4</v>
      </c>
      <c r="C38" s="3">
        <v>37</v>
      </c>
      <c r="D38" s="2">
        <v>2</v>
      </c>
      <c r="E38" s="3" t="s">
        <v>47</v>
      </c>
      <c r="F38" s="2" t="s">
        <v>48</v>
      </c>
      <c r="G38" s="4">
        <v>45637</v>
      </c>
      <c r="H38" s="2">
        <v>-47.9671339</v>
      </c>
      <c r="I38" s="2">
        <v>-22.777845599999999</v>
      </c>
      <c r="J38" s="10" t="s">
        <v>41</v>
      </c>
      <c r="K38" s="4">
        <v>45684</v>
      </c>
      <c r="L38" s="2">
        <f t="shared" si="9"/>
        <v>47</v>
      </c>
      <c r="M38" s="2">
        <v>50</v>
      </c>
      <c r="N38" s="4">
        <v>45730</v>
      </c>
      <c r="O38" s="4">
        <v>45734</v>
      </c>
      <c r="P38" s="2">
        <f t="shared" si="10"/>
        <v>4</v>
      </c>
      <c r="Q38" s="2">
        <v>73</v>
      </c>
      <c r="R38" s="21" t="s">
        <v>34</v>
      </c>
      <c r="S38" s="23" t="s">
        <v>49</v>
      </c>
      <c r="T38" s="2">
        <v>5</v>
      </c>
      <c r="U38" s="4">
        <v>45741</v>
      </c>
      <c r="V38" s="2">
        <f t="shared" si="11"/>
        <v>104</v>
      </c>
      <c r="W38" s="2">
        <v>2</v>
      </c>
      <c r="X38" s="2">
        <v>1</v>
      </c>
      <c r="Y38" s="6">
        <v>10.6</v>
      </c>
      <c r="Z38" s="5">
        <v>0.628</v>
      </c>
      <c r="AA38" s="7">
        <f t="shared" si="12"/>
        <v>0.64532413793103449</v>
      </c>
      <c r="AB38" s="7">
        <f t="shared" si="13"/>
        <v>1290.6482758620691</v>
      </c>
      <c r="AC38" s="8">
        <f t="shared" si="14"/>
        <v>1.2906482758620692</v>
      </c>
      <c r="AD38" s="6">
        <v>7.28</v>
      </c>
      <c r="AE38" s="6">
        <f t="shared" si="15"/>
        <v>7.4808275862068969</v>
      </c>
      <c r="AF38" s="5">
        <v>0.3</v>
      </c>
      <c r="AG38" s="7">
        <f t="shared" si="16"/>
        <v>616.55172413793105</v>
      </c>
      <c r="AH38" s="18">
        <f t="shared" si="17"/>
        <v>0.47770700636942676</v>
      </c>
      <c r="AI38" s="2"/>
      <c r="AJ38" s="2"/>
      <c r="AK38" s="2"/>
      <c r="AL38" s="2"/>
    </row>
    <row r="39" spans="1:38" x14ac:dyDescent="0.3">
      <c r="A39" s="2">
        <v>8</v>
      </c>
      <c r="B39" s="2">
        <v>3</v>
      </c>
      <c r="C39" s="3">
        <v>38</v>
      </c>
      <c r="D39" s="2">
        <v>2</v>
      </c>
      <c r="E39" s="3" t="s">
        <v>70</v>
      </c>
      <c r="F39" s="2" t="s">
        <v>71</v>
      </c>
      <c r="G39" s="4">
        <v>45637</v>
      </c>
      <c r="H39" s="2">
        <v>-47.9671339</v>
      </c>
      <c r="I39" s="2">
        <v>-22.777845599999999</v>
      </c>
      <c r="J39" s="10" t="s">
        <v>41</v>
      </c>
      <c r="K39" s="4">
        <v>45682</v>
      </c>
      <c r="L39" s="2">
        <f t="shared" si="9"/>
        <v>45</v>
      </c>
      <c r="M39" s="2">
        <v>54</v>
      </c>
      <c r="N39" s="4">
        <v>45729</v>
      </c>
      <c r="O39" s="4">
        <v>45736</v>
      </c>
      <c r="P39" s="2">
        <f t="shared" si="10"/>
        <v>7</v>
      </c>
      <c r="Q39" s="2">
        <v>82</v>
      </c>
      <c r="R39" s="21" t="s">
        <v>34</v>
      </c>
      <c r="S39" s="23" t="s">
        <v>49</v>
      </c>
      <c r="T39" s="2">
        <v>1</v>
      </c>
      <c r="U39" s="4">
        <v>45745</v>
      </c>
      <c r="V39" s="2">
        <f t="shared" si="11"/>
        <v>108</v>
      </c>
      <c r="W39" s="2">
        <v>4</v>
      </c>
      <c r="X39" s="2">
        <v>3</v>
      </c>
      <c r="Y39" s="6">
        <v>14.2</v>
      </c>
      <c r="Z39" s="5">
        <v>0.56599999999999995</v>
      </c>
      <c r="AA39" s="7">
        <f t="shared" si="12"/>
        <v>0.55819310344827577</v>
      </c>
      <c r="AB39" s="7">
        <f t="shared" si="13"/>
        <v>1116.3862068965516</v>
      </c>
      <c r="AC39" s="8">
        <f t="shared" si="14"/>
        <v>1.1163862068965515</v>
      </c>
      <c r="AD39" s="6">
        <v>7.97</v>
      </c>
      <c r="AE39" s="6">
        <f t="shared" si="15"/>
        <v>7.8600689655172413</v>
      </c>
      <c r="AF39" s="5">
        <v>0.247</v>
      </c>
      <c r="AG39" s="7">
        <f t="shared" si="16"/>
        <v>487.18620689655171</v>
      </c>
      <c r="AH39" s="18">
        <f t="shared" si="17"/>
        <v>0.43639575971731459</v>
      </c>
      <c r="AI39" s="2"/>
      <c r="AJ39" s="2"/>
      <c r="AK39" s="2"/>
      <c r="AL39" s="2" t="s">
        <v>66</v>
      </c>
    </row>
    <row r="40" spans="1:38" x14ac:dyDescent="0.3">
      <c r="A40" s="2">
        <v>8</v>
      </c>
      <c r="B40" s="2">
        <v>2</v>
      </c>
      <c r="C40" s="3">
        <v>39</v>
      </c>
      <c r="D40" s="2">
        <v>2</v>
      </c>
      <c r="E40" s="3" t="s">
        <v>75</v>
      </c>
      <c r="F40" s="2" t="s">
        <v>76</v>
      </c>
      <c r="G40" s="4">
        <v>45637</v>
      </c>
      <c r="H40" s="2">
        <v>-47.9671339</v>
      </c>
      <c r="I40" s="2">
        <v>-22.777845599999999</v>
      </c>
      <c r="J40" s="2" t="s">
        <v>33</v>
      </c>
      <c r="K40" s="4">
        <v>45685</v>
      </c>
      <c r="L40" s="2">
        <f t="shared" si="9"/>
        <v>48</v>
      </c>
      <c r="M40" s="2">
        <v>42</v>
      </c>
      <c r="N40" s="4">
        <v>45731</v>
      </c>
      <c r="O40" s="4">
        <v>45738</v>
      </c>
      <c r="P40" s="2">
        <f t="shared" si="10"/>
        <v>7</v>
      </c>
      <c r="Q40" s="2">
        <v>72</v>
      </c>
      <c r="R40" s="21" t="s">
        <v>34</v>
      </c>
      <c r="S40" s="22" t="s">
        <v>35</v>
      </c>
      <c r="T40" s="2">
        <v>3</v>
      </c>
      <c r="U40" s="4">
        <v>45749</v>
      </c>
      <c r="V40" s="2">
        <f t="shared" si="11"/>
        <v>112</v>
      </c>
      <c r="W40" s="2">
        <v>3</v>
      </c>
      <c r="X40" s="2">
        <v>2</v>
      </c>
      <c r="Y40" s="6">
        <v>11.7</v>
      </c>
      <c r="Z40" s="5">
        <v>0.60799999999999998</v>
      </c>
      <c r="AA40" s="7">
        <f t="shared" si="12"/>
        <v>0.6170850574712643</v>
      </c>
      <c r="AB40" s="7">
        <f t="shared" si="13"/>
        <v>1234.1701149425285</v>
      </c>
      <c r="AC40" s="8">
        <f t="shared" si="14"/>
        <v>1.2341701149425284</v>
      </c>
      <c r="AD40" s="6">
        <v>7.84</v>
      </c>
      <c r="AE40" s="6">
        <f t="shared" si="15"/>
        <v>7.9571494252873558</v>
      </c>
      <c r="AF40" s="5">
        <v>0.255</v>
      </c>
      <c r="AG40" s="7">
        <f t="shared" si="16"/>
        <v>517.62068965517233</v>
      </c>
      <c r="AH40" s="18">
        <f t="shared" si="17"/>
        <v>0.41940789473684215</v>
      </c>
      <c r="AI40" s="2"/>
      <c r="AJ40" s="2"/>
      <c r="AK40" s="2"/>
      <c r="AL40" s="2" t="s">
        <v>109</v>
      </c>
    </row>
    <row r="41" spans="1:38" x14ac:dyDescent="0.3">
      <c r="A41" s="2">
        <v>8</v>
      </c>
      <c r="B41" s="2">
        <v>1</v>
      </c>
      <c r="C41" s="3">
        <v>40</v>
      </c>
      <c r="D41" s="2">
        <v>2</v>
      </c>
      <c r="E41" s="3" t="s">
        <v>104</v>
      </c>
      <c r="F41" s="2" t="s">
        <v>105</v>
      </c>
      <c r="G41" s="4">
        <v>45637</v>
      </c>
      <c r="H41" s="2">
        <v>-47.9671339</v>
      </c>
      <c r="I41" s="2">
        <v>-22.777845599999999</v>
      </c>
      <c r="J41" s="2" t="s">
        <v>33</v>
      </c>
      <c r="K41" s="4">
        <v>45682</v>
      </c>
      <c r="L41" s="2">
        <f t="shared" si="9"/>
        <v>45</v>
      </c>
      <c r="M41" s="2">
        <v>44</v>
      </c>
      <c r="N41" s="4">
        <v>45730</v>
      </c>
      <c r="O41" s="4">
        <v>45738</v>
      </c>
      <c r="P41" s="2">
        <f t="shared" si="10"/>
        <v>8</v>
      </c>
      <c r="Q41" s="2">
        <v>81</v>
      </c>
      <c r="R41" s="20" t="s">
        <v>53</v>
      </c>
      <c r="S41" s="20" t="s">
        <v>38</v>
      </c>
      <c r="T41" s="2">
        <v>1</v>
      </c>
      <c r="U41" s="4">
        <v>45761</v>
      </c>
      <c r="V41" s="2">
        <f t="shared" si="11"/>
        <v>124</v>
      </c>
      <c r="W41" s="2">
        <v>4</v>
      </c>
      <c r="X41" s="2">
        <v>4</v>
      </c>
      <c r="Y41" s="6">
        <v>11.4</v>
      </c>
      <c r="Z41" s="5">
        <v>0.83799999999999997</v>
      </c>
      <c r="AA41" s="7">
        <f t="shared" si="12"/>
        <v>0.85341149425287344</v>
      </c>
      <c r="AB41" s="7">
        <f t="shared" si="13"/>
        <v>1706.8229885057467</v>
      </c>
      <c r="AC41" s="8">
        <f t="shared" si="14"/>
        <v>1.7068229885057467</v>
      </c>
      <c r="AD41" s="6">
        <v>11.53</v>
      </c>
      <c r="AE41" s="6">
        <f t="shared" si="15"/>
        <v>11.742045977011493</v>
      </c>
      <c r="AF41" s="5">
        <v>0.38700000000000001</v>
      </c>
      <c r="AG41" s="7">
        <f t="shared" si="16"/>
        <v>788.23448275862063</v>
      </c>
      <c r="AH41" s="18">
        <f t="shared" si="17"/>
        <v>0.46181384248210033</v>
      </c>
      <c r="AI41" s="2"/>
      <c r="AJ41" s="2"/>
      <c r="AK41" s="2"/>
      <c r="AL41" s="2"/>
    </row>
    <row r="42" spans="1:38" x14ac:dyDescent="0.3">
      <c r="A42" s="2">
        <v>9</v>
      </c>
      <c r="B42" s="2">
        <v>1</v>
      </c>
      <c r="C42" s="3">
        <v>41</v>
      </c>
      <c r="D42" s="2">
        <v>2</v>
      </c>
      <c r="E42" s="3" t="s">
        <v>110</v>
      </c>
      <c r="F42" s="2" t="s">
        <v>32</v>
      </c>
      <c r="G42" s="4">
        <v>45637</v>
      </c>
      <c r="H42" s="2">
        <v>-48.231422799999997</v>
      </c>
      <c r="I42" s="2">
        <v>-22.6605235</v>
      </c>
      <c r="J42" s="2" t="s">
        <v>33</v>
      </c>
      <c r="K42" s="4">
        <v>45689</v>
      </c>
      <c r="L42" s="2">
        <f t="shared" si="9"/>
        <v>52</v>
      </c>
      <c r="M42" s="2">
        <v>57</v>
      </c>
      <c r="N42" s="4">
        <v>45734</v>
      </c>
      <c r="O42" s="4">
        <v>45744</v>
      </c>
      <c r="P42" s="2">
        <f t="shared" si="10"/>
        <v>10</v>
      </c>
      <c r="Q42" s="2">
        <v>90</v>
      </c>
      <c r="R42" s="23" t="s">
        <v>72</v>
      </c>
      <c r="S42" s="22" t="s">
        <v>35</v>
      </c>
      <c r="T42" s="2">
        <v>5</v>
      </c>
      <c r="U42" s="4">
        <v>45762</v>
      </c>
      <c r="V42" s="2">
        <f t="shared" si="11"/>
        <v>125</v>
      </c>
      <c r="W42" s="2">
        <v>1</v>
      </c>
      <c r="X42" s="2">
        <v>4</v>
      </c>
      <c r="Y42" s="6">
        <v>11.2</v>
      </c>
      <c r="Z42" s="5">
        <v>0.27600000000000002</v>
      </c>
      <c r="AA42" s="7">
        <f t="shared" si="12"/>
        <v>0.28171034482758622</v>
      </c>
      <c r="AB42" s="7">
        <f t="shared" si="13"/>
        <v>563.4206896551724</v>
      </c>
      <c r="AC42" s="8">
        <f t="shared" si="14"/>
        <v>0.56342068965517245</v>
      </c>
      <c r="AD42" s="6">
        <v>8.01</v>
      </c>
      <c r="AE42" s="6">
        <f t="shared" si="15"/>
        <v>8.1757241379310344</v>
      </c>
      <c r="AF42" s="5">
        <v>3.5000000000000003E-2</v>
      </c>
      <c r="AG42" s="7">
        <f t="shared" si="16"/>
        <v>71.448275862068982</v>
      </c>
      <c r="AH42" s="18">
        <f t="shared" si="17"/>
        <v>0.12681159420289856</v>
      </c>
      <c r="AI42" s="2"/>
      <c r="AJ42" s="2"/>
      <c r="AK42" s="2"/>
      <c r="AL42" s="2"/>
    </row>
    <row r="43" spans="1:38" x14ac:dyDescent="0.3">
      <c r="A43" s="2">
        <v>9</v>
      </c>
      <c r="B43" s="2">
        <v>2</v>
      </c>
      <c r="C43" s="3">
        <v>42</v>
      </c>
      <c r="D43" s="2">
        <v>2</v>
      </c>
      <c r="E43" s="3" t="s">
        <v>54</v>
      </c>
      <c r="F43" s="2" t="s">
        <v>55</v>
      </c>
      <c r="G43" s="4">
        <v>45637</v>
      </c>
      <c r="H43" s="2">
        <v>-48.116180300000003</v>
      </c>
      <c r="I43" s="2">
        <v>-22.7773</v>
      </c>
      <c r="J43" s="2" t="s">
        <v>33</v>
      </c>
      <c r="K43" s="4">
        <v>45690</v>
      </c>
      <c r="L43" s="2">
        <f t="shared" si="9"/>
        <v>53</v>
      </c>
      <c r="M43" s="2">
        <v>61</v>
      </c>
      <c r="N43" s="4">
        <v>45731</v>
      </c>
      <c r="O43" s="4">
        <v>45741</v>
      </c>
      <c r="P43" s="2">
        <f t="shared" si="10"/>
        <v>10</v>
      </c>
      <c r="Q43" s="2">
        <v>90</v>
      </c>
      <c r="R43" s="23" t="s">
        <v>72</v>
      </c>
      <c r="S43" s="22" t="s">
        <v>35</v>
      </c>
      <c r="T43" s="2">
        <v>3</v>
      </c>
      <c r="U43" s="4">
        <v>45756</v>
      </c>
      <c r="V43" s="2">
        <f t="shared" si="11"/>
        <v>119</v>
      </c>
      <c r="W43" s="2">
        <v>3</v>
      </c>
      <c r="X43" s="2">
        <v>4</v>
      </c>
      <c r="Y43" s="6">
        <v>11.2</v>
      </c>
      <c r="Z43" s="5">
        <v>0.51400000000000001</v>
      </c>
      <c r="AA43" s="7">
        <f t="shared" si="12"/>
        <v>0.52463448275862068</v>
      </c>
      <c r="AB43" s="7">
        <f t="shared" si="13"/>
        <v>1049.2689655172412</v>
      </c>
      <c r="AC43" s="8">
        <f t="shared" si="14"/>
        <v>1.0492689655172411</v>
      </c>
      <c r="AD43" s="6">
        <v>7.99</v>
      </c>
      <c r="AE43" s="6">
        <f t="shared" si="15"/>
        <v>8.155310344827587</v>
      </c>
      <c r="AF43" s="5">
        <v>0.09</v>
      </c>
      <c r="AG43" s="7">
        <f t="shared" si="16"/>
        <v>183.72413793103448</v>
      </c>
      <c r="AH43" s="18">
        <f t="shared" si="17"/>
        <v>0.17509727626459137</v>
      </c>
      <c r="AI43" s="2"/>
      <c r="AJ43" s="2"/>
      <c r="AK43" s="2"/>
      <c r="AL43" s="2"/>
    </row>
    <row r="44" spans="1:38" x14ac:dyDescent="0.3">
      <c r="A44" s="2">
        <v>9</v>
      </c>
      <c r="B44" s="2">
        <v>3</v>
      </c>
      <c r="C44" s="3">
        <v>43</v>
      </c>
      <c r="D44" s="2">
        <v>2</v>
      </c>
      <c r="E44" s="3" t="s">
        <v>94</v>
      </c>
      <c r="F44" s="2" t="s">
        <v>95</v>
      </c>
      <c r="G44" s="4">
        <v>45637</v>
      </c>
      <c r="H44" s="2">
        <v>-48.116180300000003</v>
      </c>
      <c r="I44" s="2">
        <v>-22.7773</v>
      </c>
      <c r="J44" s="2" t="s">
        <v>33</v>
      </c>
      <c r="K44" s="4">
        <v>45682</v>
      </c>
      <c r="L44" s="2">
        <f t="shared" si="9"/>
        <v>45</v>
      </c>
      <c r="M44" s="2">
        <v>50</v>
      </c>
      <c r="N44" s="4">
        <v>45725</v>
      </c>
      <c r="O44" s="4">
        <v>45733</v>
      </c>
      <c r="P44" s="2">
        <f t="shared" si="10"/>
        <v>8</v>
      </c>
      <c r="Q44" s="2">
        <v>81</v>
      </c>
      <c r="R44" s="20" t="s">
        <v>53</v>
      </c>
      <c r="S44" s="20" t="s">
        <v>38</v>
      </c>
      <c r="T44" s="2">
        <v>2</v>
      </c>
      <c r="U44" s="4">
        <v>45742</v>
      </c>
      <c r="V44" s="2">
        <f t="shared" si="11"/>
        <v>105</v>
      </c>
      <c r="W44" s="2">
        <v>4</v>
      </c>
      <c r="X44" s="2">
        <v>1</v>
      </c>
      <c r="Y44" s="6">
        <v>10.3</v>
      </c>
      <c r="Z44" s="5">
        <v>0.73499999999999999</v>
      </c>
      <c r="AA44" s="7">
        <f t="shared" si="12"/>
        <v>0.75781034482758614</v>
      </c>
      <c r="AB44" s="7">
        <f t="shared" si="13"/>
        <v>1515.6206896551721</v>
      </c>
      <c r="AC44" s="8">
        <f t="shared" si="14"/>
        <v>1.515620689655172</v>
      </c>
      <c r="AD44" s="6">
        <v>10.68</v>
      </c>
      <c r="AE44" s="6">
        <f t="shared" si="15"/>
        <v>11.011448275862069</v>
      </c>
      <c r="AF44" s="5">
        <v>0.376</v>
      </c>
      <c r="AG44" s="7">
        <f t="shared" si="16"/>
        <v>775.33793103448272</v>
      </c>
      <c r="AH44" s="18">
        <f t="shared" si="17"/>
        <v>0.51156462585034024</v>
      </c>
      <c r="AI44" s="2"/>
      <c r="AJ44" s="2"/>
      <c r="AK44" s="2"/>
      <c r="AL44" s="2"/>
    </row>
    <row r="45" spans="1:38" s="16" customFormat="1" x14ac:dyDescent="0.3">
      <c r="A45" s="2">
        <v>9</v>
      </c>
      <c r="B45" s="2">
        <v>4</v>
      </c>
      <c r="C45" s="3">
        <v>44</v>
      </c>
      <c r="D45" s="2">
        <v>2</v>
      </c>
      <c r="E45" s="3" t="s">
        <v>81</v>
      </c>
      <c r="F45" s="2" t="s">
        <v>82</v>
      </c>
      <c r="G45" s="4">
        <v>45637</v>
      </c>
      <c r="H45" s="2">
        <v>-48.018796600000002</v>
      </c>
      <c r="I45" s="2">
        <v>-22.846822599999999</v>
      </c>
      <c r="J45" s="2" t="s">
        <v>33</v>
      </c>
      <c r="K45" s="4">
        <v>45688</v>
      </c>
      <c r="L45" s="2">
        <f t="shared" si="9"/>
        <v>51</v>
      </c>
      <c r="M45" s="2">
        <v>49</v>
      </c>
      <c r="N45" s="4">
        <v>45724</v>
      </c>
      <c r="O45" s="4">
        <v>45737</v>
      </c>
      <c r="P45" s="2">
        <f t="shared" si="10"/>
        <v>13</v>
      </c>
      <c r="Q45" s="2">
        <v>71</v>
      </c>
      <c r="R45" s="23" t="s">
        <v>72</v>
      </c>
      <c r="S45" s="23" t="s">
        <v>49</v>
      </c>
      <c r="T45" s="2">
        <v>3</v>
      </c>
      <c r="U45" s="4">
        <v>45749</v>
      </c>
      <c r="V45" s="2">
        <f t="shared" si="11"/>
        <v>112</v>
      </c>
      <c r="W45" s="2">
        <v>3</v>
      </c>
      <c r="X45" s="2">
        <v>3</v>
      </c>
      <c r="Y45" s="6">
        <v>9.3000000000000007</v>
      </c>
      <c r="Z45" s="5">
        <v>0.45800000000000002</v>
      </c>
      <c r="AA45" s="7">
        <f t="shared" si="12"/>
        <v>0.47747816091954026</v>
      </c>
      <c r="AB45" s="7">
        <f t="shared" si="13"/>
        <v>954.95632183908049</v>
      </c>
      <c r="AC45" s="8">
        <f t="shared" si="14"/>
        <v>0.95495632183908052</v>
      </c>
      <c r="AD45" s="6">
        <v>7.37</v>
      </c>
      <c r="AE45" s="6">
        <f t="shared" si="15"/>
        <v>7.6834367816091955</v>
      </c>
      <c r="AF45" s="5">
        <v>0.20899999999999999</v>
      </c>
      <c r="AG45" s="7">
        <f t="shared" si="16"/>
        <v>435.77701149425286</v>
      </c>
      <c r="AH45" s="18">
        <f t="shared" si="17"/>
        <v>0.45633187772925765</v>
      </c>
      <c r="AI45" s="2"/>
      <c r="AJ45" s="2"/>
      <c r="AK45" s="2"/>
      <c r="AL45" s="2"/>
    </row>
    <row r="46" spans="1:38" x14ac:dyDescent="0.3">
      <c r="A46" s="2">
        <v>9</v>
      </c>
      <c r="B46" s="2">
        <v>5</v>
      </c>
      <c r="C46" s="3">
        <v>45</v>
      </c>
      <c r="D46" s="2">
        <v>2</v>
      </c>
      <c r="E46" s="3" t="s">
        <v>73</v>
      </c>
      <c r="F46" s="2" t="s">
        <v>74</v>
      </c>
      <c r="G46" s="4">
        <v>45637</v>
      </c>
      <c r="H46" s="2">
        <v>-47.9671339</v>
      </c>
      <c r="I46" s="2">
        <v>-22.777845599999999</v>
      </c>
      <c r="J46" s="2" t="s">
        <v>33</v>
      </c>
      <c r="K46" s="4">
        <v>45682</v>
      </c>
      <c r="L46" s="2">
        <f t="shared" si="9"/>
        <v>45</v>
      </c>
      <c r="M46" s="2">
        <v>35</v>
      </c>
      <c r="N46" s="4">
        <v>45723</v>
      </c>
      <c r="O46" s="4">
        <v>45734</v>
      </c>
      <c r="P46" s="2">
        <f t="shared" si="10"/>
        <v>11</v>
      </c>
      <c r="Q46" s="2">
        <v>83</v>
      </c>
      <c r="R46" s="20" t="s">
        <v>53</v>
      </c>
      <c r="S46" s="20" t="s">
        <v>38</v>
      </c>
      <c r="T46" s="2">
        <v>1</v>
      </c>
      <c r="U46" s="4">
        <v>45743</v>
      </c>
      <c r="V46" s="2">
        <f t="shared" si="11"/>
        <v>106</v>
      </c>
      <c r="W46" s="2">
        <v>5</v>
      </c>
      <c r="X46" s="2">
        <v>1</v>
      </c>
      <c r="Y46" s="6">
        <v>11.4</v>
      </c>
      <c r="Z46" s="5">
        <v>0.75800000000000001</v>
      </c>
      <c r="AA46" s="7">
        <f t="shared" si="12"/>
        <v>0.77194022988505739</v>
      </c>
      <c r="AB46" s="7">
        <f t="shared" si="13"/>
        <v>1543.8804597701148</v>
      </c>
      <c r="AC46" s="8">
        <f t="shared" si="14"/>
        <v>1.5438804597701148</v>
      </c>
      <c r="AD46" s="6">
        <v>9.18</v>
      </c>
      <c r="AE46" s="6">
        <f t="shared" si="15"/>
        <v>9.3488275862068946</v>
      </c>
      <c r="AF46" s="5">
        <v>0.36599999999999999</v>
      </c>
      <c r="AG46" s="7">
        <f t="shared" si="16"/>
        <v>745.46206896551712</v>
      </c>
      <c r="AH46" s="18">
        <f t="shared" si="17"/>
        <v>0.48284960422163581</v>
      </c>
      <c r="AI46" s="2"/>
      <c r="AJ46" s="2"/>
      <c r="AK46" s="2"/>
      <c r="AL46" s="2"/>
    </row>
    <row r="47" spans="1:38" x14ac:dyDescent="0.3">
      <c r="A47" s="2">
        <v>10</v>
      </c>
      <c r="B47" s="2">
        <v>5</v>
      </c>
      <c r="C47" s="3">
        <v>46</v>
      </c>
      <c r="D47" s="2">
        <v>2</v>
      </c>
      <c r="E47" s="3" t="s">
        <v>67</v>
      </c>
      <c r="F47" s="2" t="s">
        <v>68</v>
      </c>
      <c r="G47" s="4">
        <v>45637</v>
      </c>
      <c r="H47" s="2">
        <v>-48.018796600000002</v>
      </c>
      <c r="I47" s="2">
        <v>-22.846822599999999</v>
      </c>
      <c r="J47" s="2" t="s">
        <v>33</v>
      </c>
      <c r="K47" s="4">
        <v>45682</v>
      </c>
      <c r="L47" s="2">
        <f t="shared" si="9"/>
        <v>45</v>
      </c>
      <c r="M47" s="2">
        <v>33</v>
      </c>
      <c r="N47" s="4">
        <v>45725</v>
      </c>
      <c r="O47" s="4">
        <v>45737</v>
      </c>
      <c r="P47" s="2">
        <f t="shared" si="10"/>
        <v>12</v>
      </c>
      <c r="Q47" s="2">
        <v>75</v>
      </c>
      <c r="R47" s="20" t="s">
        <v>53</v>
      </c>
      <c r="S47" s="20" t="s">
        <v>38</v>
      </c>
      <c r="T47" s="2">
        <v>1</v>
      </c>
      <c r="U47" s="4">
        <v>45745</v>
      </c>
      <c r="V47" s="2">
        <f t="shared" si="11"/>
        <v>108</v>
      </c>
      <c r="W47" s="2">
        <v>4</v>
      </c>
      <c r="X47" s="2">
        <v>2</v>
      </c>
      <c r="Y47" s="6">
        <v>10.9</v>
      </c>
      <c r="Z47" s="5">
        <v>0.81599999999999995</v>
      </c>
      <c r="AA47" s="7">
        <f t="shared" si="12"/>
        <v>0.83569655172413781</v>
      </c>
      <c r="AB47" s="7">
        <f t="shared" si="13"/>
        <v>1671.3931034482757</v>
      </c>
      <c r="AC47" s="8">
        <f t="shared" si="14"/>
        <v>1.6713931034482756</v>
      </c>
      <c r="AD47" s="6">
        <v>9.8699999999999992</v>
      </c>
      <c r="AE47" s="6">
        <f t="shared" si="15"/>
        <v>10.108241379310343</v>
      </c>
      <c r="AF47" s="5">
        <v>0.44</v>
      </c>
      <c r="AG47" s="7">
        <f t="shared" si="16"/>
        <v>901.24137931034477</v>
      </c>
      <c r="AH47" s="18">
        <f t="shared" si="17"/>
        <v>0.53921568627450989</v>
      </c>
      <c r="AI47" s="2"/>
      <c r="AJ47" s="2"/>
      <c r="AK47" s="2"/>
      <c r="AL47" s="2"/>
    </row>
    <row r="48" spans="1:38" x14ac:dyDescent="0.3">
      <c r="A48" s="2">
        <v>10</v>
      </c>
      <c r="B48" s="2">
        <v>4</v>
      </c>
      <c r="C48" s="3">
        <v>47</v>
      </c>
      <c r="D48" s="2">
        <v>2</v>
      </c>
      <c r="E48" s="3" t="s">
        <v>79</v>
      </c>
      <c r="F48" s="2" t="s">
        <v>80</v>
      </c>
      <c r="G48" s="4">
        <v>45637</v>
      </c>
      <c r="H48" s="2">
        <v>-47.9671339</v>
      </c>
      <c r="I48" s="2">
        <v>-22.777845599999999</v>
      </c>
      <c r="J48" s="10" t="s">
        <v>41</v>
      </c>
      <c r="K48" s="4">
        <v>45693</v>
      </c>
      <c r="L48" s="2">
        <f t="shared" si="9"/>
        <v>56</v>
      </c>
      <c r="M48" s="2">
        <v>63</v>
      </c>
      <c r="N48" s="4">
        <v>45730</v>
      </c>
      <c r="O48" s="4">
        <v>45739</v>
      </c>
      <c r="P48" s="2">
        <f t="shared" si="10"/>
        <v>9</v>
      </c>
      <c r="Q48" s="2">
        <v>89</v>
      </c>
      <c r="R48" s="20" t="s">
        <v>53</v>
      </c>
      <c r="S48" s="20" t="s">
        <v>38</v>
      </c>
      <c r="T48" s="2">
        <v>2</v>
      </c>
      <c r="U48" s="4">
        <v>45772</v>
      </c>
      <c r="V48" s="2">
        <f t="shared" si="11"/>
        <v>135</v>
      </c>
      <c r="W48" s="2">
        <v>3</v>
      </c>
      <c r="X48" s="2">
        <v>5</v>
      </c>
      <c r="Y48" s="6">
        <v>9.1999999999999993</v>
      </c>
      <c r="Z48" s="5">
        <v>0.14000000000000001</v>
      </c>
      <c r="AA48" s="7">
        <f t="shared" si="12"/>
        <v>0.14611494252873564</v>
      </c>
      <c r="AB48" s="7">
        <f t="shared" si="13"/>
        <v>292.22988505747128</v>
      </c>
      <c r="AC48" s="8">
        <f t="shared" si="14"/>
        <v>0.29222988505747127</v>
      </c>
      <c r="AD48" s="6">
        <v>8.2799999999999994</v>
      </c>
      <c r="AE48" s="6">
        <f t="shared" si="15"/>
        <v>8.6416551724137918</v>
      </c>
      <c r="AF48" s="5">
        <v>2E-3</v>
      </c>
      <c r="AG48" s="7">
        <f t="shared" si="16"/>
        <v>4.174712643678161</v>
      </c>
      <c r="AH48" s="18">
        <f t="shared" si="17"/>
        <v>1.4285714285714346E-2</v>
      </c>
      <c r="AI48" s="2"/>
      <c r="AJ48" s="2"/>
      <c r="AK48" s="2"/>
      <c r="AL48" s="2"/>
    </row>
    <row r="49" spans="1:38" x14ac:dyDescent="0.3">
      <c r="A49" s="2">
        <v>10</v>
      </c>
      <c r="B49" s="2">
        <v>3</v>
      </c>
      <c r="C49" s="3">
        <v>48</v>
      </c>
      <c r="D49" s="2">
        <v>2</v>
      </c>
      <c r="E49" s="3" t="s">
        <v>56</v>
      </c>
      <c r="F49" s="2" t="s">
        <v>57</v>
      </c>
      <c r="G49" s="4">
        <v>45637</v>
      </c>
      <c r="H49" s="2">
        <v>-48.018796600000002</v>
      </c>
      <c r="I49" s="2">
        <v>-22.846822599999999</v>
      </c>
      <c r="J49" s="2" t="s">
        <v>33</v>
      </c>
      <c r="K49" s="4">
        <v>45690</v>
      </c>
      <c r="L49" s="2">
        <f t="shared" si="9"/>
        <v>53</v>
      </c>
      <c r="M49" s="2">
        <v>60</v>
      </c>
      <c r="N49" s="4">
        <v>45735</v>
      </c>
      <c r="O49" s="4">
        <v>45742</v>
      </c>
      <c r="P49" s="2">
        <f t="shared" si="10"/>
        <v>7</v>
      </c>
      <c r="Q49" s="2">
        <v>80</v>
      </c>
      <c r="R49" s="21" t="s">
        <v>34</v>
      </c>
      <c r="S49" s="22" t="s">
        <v>35</v>
      </c>
      <c r="T49" s="2">
        <v>2</v>
      </c>
      <c r="U49" s="4">
        <v>45771</v>
      </c>
      <c r="V49" s="2">
        <f t="shared" si="11"/>
        <v>134</v>
      </c>
      <c r="W49" s="2">
        <v>3</v>
      </c>
      <c r="X49" s="2">
        <v>5</v>
      </c>
      <c r="Y49" s="6">
        <v>10</v>
      </c>
      <c r="Z49" s="5">
        <v>0.32800000000000001</v>
      </c>
      <c r="AA49" s="7">
        <f t="shared" si="12"/>
        <v>0.33931034482758626</v>
      </c>
      <c r="AB49" s="7">
        <f t="shared" si="13"/>
        <v>678.62068965517244</v>
      </c>
      <c r="AC49" s="8">
        <f t="shared" si="14"/>
        <v>0.67862068965517242</v>
      </c>
      <c r="AD49" s="6">
        <v>9.27</v>
      </c>
      <c r="AE49" s="6">
        <f t="shared" si="15"/>
        <v>9.5896551724137939</v>
      </c>
      <c r="AF49" s="5">
        <v>1.4999999999999999E-2</v>
      </c>
      <c r="AG49" s="7">
        <f t="shared" si="16"/>
        <v>31.034482758620687</v>
      </c>
      <c r="AH49" s="18">
        <f t="shared" si="17"/>
        <v>4.5731707317073211E-2</v>
      </c>
      <c r="AI49" s="2"/>
      <c r="AJ49" s="2"/>
      <c r="AK49" s="2"/>
      <c r="AL49" s="2" t="s">
        <v>111</v>
      </c>
    </row>
    <row r="50" spans="1:38" x14ac:dyDescent="0.3">
      <c r="A50" s="2">
        <v>10</v>
      </c>
      <c r="B50" s="2">
        <v>2</v>
      </c>
      <c r="C50" s="3">
        <v>49</v>
      </c>
      <c r="D50" s="2">
        <v>2</v>
      </c>
      <c r="E50" s="3" t="s">
        <v>106</v>
      </c>
      <c r="F50" s="2" t="s">
        <v>107</v>
      </c>
      <c r="G50" s="4">
        <v>45637</v>
      </c>
      <c r="H50" s="2">
        <v>-48.1276625</v>
      </c>
      <c r="I50" s="2">
        <v>-22.792173399999999</v>
      </c>
      <c r="J50" s="10" t="s">
        <v>41</v>
      </c>
      <c r="K50" s="4">
        <v>45683</v>
      </c>
      <c r="L50" s="2">
        <f t="shared" si="9"/>
        <v>46</v>
      </c>
      <c r="M50" s="2">
        <v>36</v>
      </c>
      <c r="N50" s="4">
        <v>45732</v>
      </c>
      <c r="O50" s="4">
        <v>45744</v>
      </c>
      <c r="P50" s="2">
        <f t="shared" si="10"/>
        <v>12</v>
      </c>
      <c r="Q50" s="2">
        <v>84</v>
      </c>
      <c r="R50" s="21" t="s">
        <v>34</v>
      </c>
      <c r="S50" s="22" t="s">
        <v>35</v>
      </c>
      <c r="T50" s="2">
        <v>2</v>
      </c>
      <c r="U50" s="4">
        <v>45771</v>
      </c>
      <c r="V50" s="2">
        <f t="shared" si="11"/>
        <v>134</v>
      </c>
      <c r="W50" s="2">
        <v>3</v>
      </c>
      <c r="X50" s="2">
        <v>5</v>
      </c>
      <c r="Y50" s="6">
        <v>11</v>
      </c>
      <c r="Z50" s="5">
        <v>0.20599999999999999</v>
      </c>
      <c r="AA50" s="7">
        <f t="shared" si="12"/>
        <v>0.21073563218390803</v>
      </c>
      <c r="AB50" s="7">
        <f t="shared" si="13"/>
        <v>421.47126436781605</v>
      </c>
      <c r="AC50" s="8">
        <f t="shared" si="14"/>
        <v>0.42147126436781607</v>
      </c>
      <c r="AD50" s="6">
        <v>6.63</v>
      </c>
      <c r="AE50" s="6">
        <f t="shared" si="15"/>
        <v>6.7824137931034478</v>
      </c>
      <c r="AF50" s="5">
        <v>8.9999999999999993E-3</v>
      </c>
      <c r="AG50" s="7">
        <f t="shared" si="16"/>
        <v>18.413793103448274</v>
      </c>
      <c r="AH50" s="18">
        <f t="shared" si="17"/>
        <v>4.3689320388349495E-2</v>
      </c>
      <c r="AI50" s="2"/>
      <c r="AJ50" s="2"/>
      <c r="AK50" s="2"/>
      <c r="AL50" s="2"/>
    </row>
    <row r="51" spans="1:38" x14ac:dyDescent="0.3">
      <c r="A51" s="2">
        <v>10</v>
      </c>
      <c r="B51" s="2">
        <v>1</v>
      </c>
      <c r="C51" s="3">
        <v>50</v>
      </c>
      <c r="D51" s="2">
        <v>2</v>
      </c>
      <c r="E51" s="3" t="s">
        <v>91</v>
      </c>
      <c r="F51" s="2" t="s">
        <v>92</v>
      </c>
      <c r="G51" s="4">
        <v>45637</v>
      </c>
      <c r="H51" s="2">
        <v>-47.9671339</v>
      </c>
      <c r="I51" s="2">
        <v>-22.777845599999999</v>
      </c>
      <c r="J51" s="2" t="s">
        <v>33</v>
      </c>
      <c r="K51" s="4">
        <v>45683</v>
      </c>
      <c r="L51" s="2">
        <f t="shared" si="9"/>
        <v>46</v>
      </c>
      <c r="M51" s="2">
        <v>34</v>
      </c>
      <c r="N51" s="4">
        <v>45732</v>
      </c>
      <c r="O51" s="4">
        <v>45740</v>
      </c>
      <c r="P51" s="2">
        <f t="shared" si="10"/>
        <v>8</v>
      </c>
      <c r="Q51" s="2">
        <v>77</v>
      </c>
      <c r="R51" s="20" t="s">
        <v>53</v>
      </c>
      <c r="S51" s="20" t="s">
        <v>38</v>
      </c>
      <c r="T51" s="2">
        <v>4</v>
      </c>
      <c r="U51" s="4">
        <v>45749</v>
      </c>
      <c r="V51" s="2">
        <f t="shared" si="11"/>
        <v>112</v>
      </c>
      <c r="W51" s="2">
        <v>3</v>
      </c>
      <c r="X51" s="2">
        <v>3</v>
      </c>
      <c r="Y51" s="6">
        <v>10.1</v>
      </c>
      <c r="Z51" s="5">
        <v>0.64800000000000002</v>
      </c>
      <c r="AA51" s="7">
        <f t="shared" si="12"/>
        <v>0.66960000000000008</v>
      </c>
      <c r="AB51" s="7">
        <f t="shared" si="13"/>
        <v>1339.2</v>
      </c>
      <c r="AC51" s="8">
        <f t="shared" si="14"/>
        <v>1.3391999999999999</v>
      </c>
      <c r="AD51" s="6">
        <v>7.83</v>
      </c>
      <c r="AE51" s="6">
        <f t="shared" si="15"/>
        <v>8.0910000000000011</v>
      </c>
      <c r="AF51" s="5">
        <v>0.219</v>
      </c>
      <c r="AG51" s="7">
        <f t="shared" si="16"/>
        <v>452.60000000000008</v>
      </c>
      <c r="AH51" s="18">
        <f t="shared" si="17"/>
        <v>0.33796296296296302</v>
      </c>
      <c r="AI51" s="2"/>
      <c r="AJ51" s="2"/>
      <c r="AK51" s="2"/>
      <c r="AL51" s="2" t="s">
        <v>66</v>
      </c>
    </row>
    <row r="52" spans="1:38" x14ac:dyDescent="0.3">
      <c r="A52" s="2">
        <v>11</v>
      </c>
      <c r="B52" s="2">
        <v>1</v>
      </c>
      <c r="C52" s="3">
        <v>51</v>
      </c>
      <c r="D52" s="2">
        <v>2</v>
      </c>
      <c r="E52" s="3" t="s">
        <v>96</v>
      </c>
      <c r="F52" s="2" t="s">
        <v>97</v>
      </c>
      <c r="G52" s="4">
        <v>45637</v>
      </c>
      <c r="H52" s="2">
        <v>-48.097255500000003</v>
      </c>
      <c r="I52" s="2">
        <v>-22.565214699999999</v>
      </c>
      <c r="J52" s="10" t="s">
        <v>41</v>
      </c>
      <c r="K52" s="4">
        <v>45692</v>
      </c>
      <c r="L52" s="2">
        <f t="shared" si="9"/>
        <v>55</v>
      </c>
      <c r="M52" s="2">
        <v>63</v>
      </c>
      <c r="N52" s="4">
        <v>45733</v>
      </c>
      <c r="O52" s="4">
        <v>45738</v>
      </c>
      <c r="P52" s="2">
        <f t="shared" si="10"/>
        <v>5</v>
      </c>
      <c r="Q52" s="2">
        <v>89</v>
      </c>
      <c r="R52" s="21" t="s">
        <v>34</v>
      </c>
      <c r="S52" s="22" t="s">
        <v>35</v>
      </c>
      <c r="T52" s="2">
        <v>4</v>
      </c>
      <c r="U52" s="4">
        <v>45757</v>
      </c>
      <c r="V52" s="2">
        <f t="shared" si="11"/>
        <v>120</v>
      </c>
      <c r="W52" s="2">
        <v>3</v>
      </c>
      <c r="X52" s="2">
        <v>4</v>
      </c>
      <c r="Y52" s="6">
        <v>11.1</v>
      </c>
      <c r="Z52" s="5">
        <v>0.55000000000000004</v>
      </c>
      <c r="AA52" s="7">
        <f t="shared" si="12"/>
        <v>0.56201149425287367</v>
      </c>
      <c r="AB52" s="7">
        <f t="shared" si="13"/>
        <v>1124.0229885057474</v>
      </c>
      <c r="AC52" s="8">
        <f t="shared" si="14"/>
        <v>1.1240229885057473</v>
      </c>
      <c r="AD52" s="6">
        <v>8.6199999999999992</v>
      </c>
      <c r="AE52" s="6">
        <f t="shared" si="15"/>
        <v>8.8082528735632177</v>
      </c>
      <c r="AF52" s="5">
        <v>0.128</v>
      </c>
      <c r="AG52" s="7">
        <f t="shared" si="16"/>
        <v>261.59080459770121</v>
      </c>
      <c r="AH52" s="18">
        <f t="shared" si="17"/>
        <v>0.23272727272727267</v>
      </c>
      <c r="AI52" s="2"/>
      <c r="AJ52" s="2"/>
      <c r="AK52" s="2"/>
      <c r="AL52" s="2"/>
    </row>
    <row r="53" spans="1:38" x14ac:dyDescent="0.3">
      <c r="A53" s="2">
        <v>11</v>
      </c>
      <c r="B53" s="2">
        <v>2</v>
      </c>
      <c r="C53" s="3">
        <v>52</v>
      </c>
      <c r="D53" s="2">
        <v>2</v>
      </c>
      <c r="E53" s="3" t="s">
        <v>88</v>
      </c>
      <c r="F53" s="2" t="s">
        <v>89</v>
      </c>
      <c r="G53" s="4">
        <v>45637</v>
      </c>
      <c r="H53" s="2">
        <v>-48.018796600000002</v>
      </c>
      <c r="I53" s="2">
        <v>-22.846822599999999</v>
      </c>
      <c r="J53" s="2" t="s">
        <v>33</v>
      </c>
      <c r="K53" s="4">
        <v>45693</v>
      </c>
      <c r="L53" s="2">
        <f t="shared" si="9"/>
        <v>56</v>
      </c>
      <c r="M53" s="2">
        <v>66</v>
      </c>
      <c r="N53" s="4">
        <v>45731</v>
      </c>
      <c r="O53" s="4">
        <v>45743</v>
      </c>
      <c r="P53" s="2">
        <f t="shared" si="10"/>
        <v>12</v>
      </c>
      <c r="Q53" s="2">
        <v>81</v>
      </c>
      <c r="R53" s="21" t="s">
        <v>34</v>
      </c>
      <c r="S53" s="23" t="s">
        <v>49</v>
      </c>
      <c r="T53" s="2">
        <v>1</v>
      </c>
      <c r="U53" s="4">
        <v>45760</v>
      </c>
      <c r="V53" s="2">
        <f t="shared" si="11"/>
        <v>123</v>
      </c>
      <c r="W53" s="2">
        <v>4</v>
      </c>
      <c r="X53" s="2">
        <v>4</v>
      </c>
      <c r="Y53" s="6">
        <v>10.3</v>
      </c>
      <c r="Z53" s="5">
        <v>0.46400000000000002</v>
      </c>
      <c r="AA53" s="7">
        <f t="shared" si="12"/>
        <v>0.47839999999999999</v>
      </c>
      <c r="AB53" s="7">
        <f t="shared" si="13"/>
        <v>956.80000000000007</v>
      </c>
      <c r="AC53" s="8">
        <f t="shared" si="14"/>
        <v>0.95680000000000009</v>
      </c>
      <c r="AD53" s="6">
        <v>7.75</v>
      </c>
      <c r="AE53" s="6">
        <f t="shared" si="15"/>
        <v>7.99051724137931</v>
      </c>
      <c r="AF53" s="5"/>
      <c r="AG53" s="7">
        <f t="shared" si="16"/>
        <v>0</v>
      </c>
      <c r="AH53" s="18">
        <f t="shared" si="17"/>
        <v>0</v>
      </c>
      <c r="AI53" s="2"/>
      <c r="AJ53" s="2"/>
      <c r="AK53" s="2"/>
      <c r="AL53" s="2"/>
    </row>
    <row r="54" spans="1:38" x14ac:dyDescent="0.3">
      <c r="A54" s="2">
        <v>11</v>
      </c>
      <c r="B54" s="2">
        <v>3</v>
      </c>
      <c r="C54" s="3">
        <v>53</v>
      </c>
      <c r="D54" s="2">
        <v>2</v>
      </c>
      <c r="E54" s="3" t="s">
        <v>58</v>
      </c>
      <c r="F54" s="2" t="s">
        <v>59</v>
      </c>
      <c r="G54" s="4">
        <v>45637</v>
      </c>
      <c r="H54" s="2">
        <v>-47.9671339</v>
      </c>
      <c r="I54" s="2">
        <v>-22.777845599999999</v>
      </c>
      <c r="J54" s="10" t="s">
        <v>41</v>
      </c>
      <c r="K54" s="4">
        <v>45692</v>
      </c>
      <c r="L54" s="2">
        <f t="shared" si="9"/>
        <v>55</v>
      </c>
      <c r="M54" s="2">
        <v>64</v>
      </c>
      <c r="N54" s="4">
        <v>45732</v>
      </c>
      <c r="O54" s="4">
        <v>45740</v>
      </c>
      <c r="P54" s="2">
        <f t="shared" si="10"/>
        <v>8</v>
      </c>
      <c r="Q54" s="2">
        <v>82</v>
      </c>
      <c r="R54" s="23" t="s">
        <v>72</v>
      </c>
      <c r="S54" s="22" t="s">
        <v>35</v>
      </c>
      <c r="T54" s="2">
        <v>3</v>
      </c>
      <c r="U54" s="4">
        <v>45776</v>
      </c>
      <c r="V54" s="2">
        <f t="shared" si="11"/>
        <v>139</v>
      </c>
      <c r="W54" s="2">
        <v>3</v>
      </c>
      <c r="X54" s="2">
        <v>5</v>
      </c>
      <c r="Y54" s="6">
        <v>10.7</v>
      </c>
      <c r="Z54" s="5">
        <v>0.33</v>
      </c>
      <c r="AA54" s="7">
        <f t="shared" si="12"/>
        <v>0.33872413793103445</v>
      </c>
      <c r="AB54" s="7">
        <f t="shared" si="13"/>
        <v>677.44827586206895</v>
      </c>
      <c r="AC54" s="8">
        <f t="shared" si="14"/>
        <v>0.6774482758620689</v>
      </c>
      <c r="AD54" s="6">
        <v>11.8</v>
      </c>
      <c r="AE54" s="6">
        <f t="shared" si="15"/>
        <v>12.111954022988504</v>
      </c>
      <c r="AF54" s="5">
        <v>0.01</v>
      </c>
      <c r="AG54" s="7">
        <f t="shared" si="16"/>
        <v>20.528735632183906</v>
      </c>
      <c r="AH54" s="18">
        <f t="shared" si="17"/>
        <v>3.0303030303030387E-2</v>
      </c>
      <c r="AI54" s="2"/>
      <c r="AJ54" s="2"/>
      <c r="AK54" s="2"/>
      <c r="AL54" s="2"/>
    </row>
    <row r="55" spans="1:38" x14ac:dyDescent="0.3">
      <c r="A55" s="2">
        <v>11</v>
      </c>
      <c r="B55" s="2">
        <v>4</v>
      </c>
      <c r="C55" s="3">
        <v>54</v>
      </c>
      <c r="D55" s="2">
        <v>2</v>
      </c>
      <c r="E55" s="3" t="s">
        <v>60</v>
      </c>
      <c r="F55" s="2" t="s">
        <v>61</v>
      </c>
      <c r="G55" s="4">
        <v>45637</v>
      </c>
      <c r="H55" s="2">
        <v>-47.9671339</v>
      </c>
      <c r="I55" s="2">
        <v>-22.777845599999999</v>
      </c>
      <c r="J55" s="10" t="s">
        <v>41</v>
      </c>
      <c r="K55" s="4">
        <v>45682</v>
      </c>
      <c r="L55" s="2">
        <f t="shared" si="9"/>
        <v>45</v>
      </c>
      <c r="M55" s="2">
        <v>47</v>
      </c>
      <c r="N55" s="4">
        <v>45726</v>
      </c>
      <c r="O55" s="4">
        <v>45735</v>
      </c>
      <c r="P55" s="2">
        <f t="shared" si="10"/>
        <v>9</v>
      </c>
      <c r="Q55" s="2">
        <v>73</v>
      </c>
      <c r="R55" s="20" t="s">
        <v>53</v>
      </c>
      <c r="S55" s="20" t="s">
        <v>38</v>
      </c>
      <c r="T55" s="2">
        <v>1</v>
      </c>
      <c r="U55" s="4">
        <v>45772</v>
      </c>
      <c r="V55" s="2">
        <f t="shared" si="11"/>
        <v>135</v>
      </c>
      <c r="W55" s="2">
        <v>3</v>
      </c>
      <c r="X55" s="2">
        <v>2</v>
      </c>
      <c r="Y55" s="6">
        <v>10.6</v>
      </c>
      <c r="Z55" s="5">
        <v>0.86199999999999999</v>
      </c>
      <c r="AA55" s="7">
        <f t="shared" si="12"/>
        <v>0.8857793103448276</v>
      </c>
      <c r="AB55" s="7">
        <f t="shared" si="13"/>
        <v>1771.5586206896553</v>
      </c>
      <c r="AC55" s="8">
        <f t="shared" si="14"/>
        <v>1.7715586206896552</v>
      </c>
      <c r="AD55" s="6">
        <v>10.26</v>
      </c>
      <c r="AE55" s="6">
        <f t="shared" si="15"/>
        <v>10.543034482758621</v>
      </c>
      <c r="AF55" s="5">
        <v>0.39900000000000002</v>
      </c>
      <c r="AG55" s="7">
        <f t="shared" si="16"/>
        <v>820.01379310344828</v>
      </c>
      <c r="AH55" s="18">
        <f t="shared" si="17"/>
        <v>0.46287703016241299</v>
      </c>
      <c r="AI55" s="2"/>
      <c r="AJ55" s="2"/>
      <c r="AK55" s="2"/>
      <c r="AL55" s="2" t="s">
        <v>112</v>
      </c>
    </row>
    <row r="56" spans="1:38" x14ac:dyDescent="0.3">
      <c r="A56" s="2">
        <v>11</v>
      </c>
      <c r="B56" s="2">
        <v>5</v>
      </c>
      <c r="C56" s="3">
        <v>55</v>
      </c>
      <c r="D56" s="2">
        <v>2</v>
      </c>
      <c r="E56" s="3" t="s">
        <v>102</v>
      </c>
      <c r="F56" s="2" t="s">
        <v>103</v>
      </c>
      <c r="G56" s="4">
        <v>45637</v>
      </c>
      <c r="H56" s="2">
        <v>-48.018796600000002</v>
      </c>
      <c r="I56" s="2">
        <v>-22.846822599999999</v>
      </c>
      <c r="J56" s="10" t="s">
        <v>41</v>
      </c>
      <c r="K56" s="4">
        <v>45681</v>
      </c>
      <c r="L56" s="2">
        <f t="shared" si="9"/>
        <v>44</v>
      </c>
      <c r="M56" s="2">
        <v>45</v>
      </c>
      <c r="N56" s="4">
        <v>45726</v>
      </c>
      <c r="O56" s="4">
        <v>45737</v>
      </c>
      <c r="P56" s="2">
        <f t="shared" si="10"/>
        <v>11</v>
      </c>
      <c r="Q56" s="2">
        <v>74</v>
      </c>
      <c r="R56" s="20" t="s">
        <v>53</v>
      </c>
      <c r="S56" s="20" t="s">
        <v>38</v>
      </c>
      <c r="T56" s="2">
        <v>1</v>
      </c>
      <c r="U56" s="4">
        <v>45757</v>
      </c>
      <c r="V56" s="2">
        <f t="shared" si="11"/>
        <v>120</v>
      </c>
      <c r="W56" s="2">
        <v>4</v>
      </c>
      <c r="X56" s="2">
        <v>5</v>
      </c>
      <c r="Y56" s="6">
        <v>12.4</v>
      </c>
      <c r="Z56" s="5">
        <v>0.78600000000000003</v>
      </c>
      <c r="AA56" s="7">
        <f t="shared" si="12"/>
        <v>0.79142068965517243</v>
      </c>
      <c r="AB56" s="7">
        <f t="shared" si="13"/>
        <v>1582.841379310345</v>
      </c>
      <c r="AC56" s="8">
        <f t="shared" si="14"/>
        <v>1.5828413793103451</v>
      </c>
      <c r="AD56" s="6">
        <v>10.01</v>
      </c>
      <c r="AE56" s="6">
        <f t="shared" si="15"/>
        <v>10.079034482758621</v>
      </c>
      <c r="AF56" s="5">
        <v>0.41899999999999998</v>
      </c>
      <c r="AG56" s="7">
        <f t="shared" si="16"/>
        <v>843.77931034482754</v>
      </c>
      <c r="AH56" s="18">
        <f t="shared" si="17"/>
        <v>0.53307888040712459</v>
      </c>
      <c r="AI56" s="2"/>
      <c r="AJ56" s="2"/>
      <c r="AK56" s="2"/>
      <c r="AL56" s="2"/>
    </row>
    <row r="57" spans="1:38" x14ac:dyDescent="0.3">
      <c r="A57" s="2">
        <v>12</v>
      </c>
      <c r="B57" s="2">
        <v>5</v>
      </c>
      <c r="C57" s="3">
        <v>56</v>
      </c>
      <c r="D57" s="2">
        <v>2</v>
      </c>
      <c r="E57" s="3" t="s">
        <v>86</v>
      </c>
      <c r="F57" s="2" t="s">
        <v>87</v>
      </c>
      <c r="G57" s="4">
        <v>45637</v>
      </c>
      <c r="H57" s="2">
        <v>-47.9671339</v>
      </c>
      <c r="I57" s="2">
        <v>-22.777845599999999</v>
      </c>
      <c r="J57" s="2" t="s">
        <v>33</v>
      </c>
      <c r="K57" s="4">
        <v>45684</v>
      </c>
      <c r="L57" s="2">
        <f t="shared" si="9"/>
        <v>47</v>
      </c>
      <c r="M57" s="2">
        <v>35</v>
      </c>
      <c r="N57" s="4">
        <v>45731</v>
      </c>
      <c r="O57" s="4">
        <v>45740</v>
      </c>
      <c r="P57" s="2">
        <f t="shared" si="10"/>
        <v>9</v>
      </c>
      <c r="Q57" s="2">
        <v>78</v>
      </c>
      <c r="R57" s="21" t="s">
        <v>34</v>
      </c>
      <c r="S57" s="21" t="s">
        <v>42</v>
      </c>
      <c r="T57" s="2">
        <v>1</v>
      </c>
      <c r="U57" s="4">
        <v>45759</v>
      </c>
      <c r="V57" s="2">
        <f t="shared" si="11"/>
        <v>122</v>
      </c>
      <c r="W57" s="2">
        <v>3</v>
      </c>
      <c r="X57" s="2">
        <v>4</v>
      </c>
      <c r="Y57" s="6">
        <v>11.1</v>
      </c>
      <c r="Z57" s="5">
        <v>0.23</v>
      </c>
      <c r="AA57" s="7">
        <f t="shared" si="12"/>
        <v>0.23502298850574713</v>
      </c>
      <c r="AB57" s="7">
        <f t="shared" si="13"/>
        <v>470.04597701149424</v>
      </c>
      <c r="AC57" s="8">
        <f t="shared" si="14"/>
        <v>0.47004597701149425</v>
      </c>
      <c r="AD57" s="6">
        <v>6.31</v>
      </c>
      <c r="AE57" s="6">
        <f t="shared" si="15"/>
        <v>6.4478045977011487</v>
      </c>
      <c r="AF57" s="5">
        <v>1.2999999999999999E-2</v>
      </c>
      <c r="AG57" s="7">
        <f t="shared" si="16"/>
        <v>26.567816091954022</v>
      </c>
      <c r="AH57" s="18">
        <f t="shared" si="17"/>
        <v>5.6521739130434789E-2</v>
      </c>
      <c r="AI57" s="2"/>
      <c r="AJ57" s="2"/>
      <c r="AK57" s="2"/>
      <c r="AL57" s="2"/>
    </row>
    <row r="58" spans="1:38" x14ac:dyDescent="0.3">
      <c r="A58" s="2">
        <v>12</v>
      </c>
      <c r="B58" s="2">
        <v>4</v>
      </c>
      <c r="C58" s="3">
        <v>57</v>
      </c>
      <c r="D58" s="2">
        <v>2</v>
      </c>
      <c r="E58" s="3" t="s">
        <v>84</v>
      </c>
      <c r="F58" s="2" t="s">
        <v>85</v>
      </c>
      <c r="G58" s="4">
        <v>45637</v>
      </c>
      <c r="H58" s="2">
        <v>-48.097255500000003</v>
      </c>
      <c r="I58" s="2">
        <v>-22.565214699999999</v>
      </c>
      <c r="J58" s="2" t="s">
        <v>33</v>
      </c>
      <c r="K58" s="4">
        <v>45690</v>
      </c>
      <c r="L58" s="2">
        <f t="shared" si="9"/>
        <v>53</v>
      </c>
      <c r="M58" s="2">
        <v>56</v>
      </c>
      <c r="N58" s="4">
        <v>45731</v>
      </c>
      <c r="O58" s="4">
        <v>45737</v>
      </c>
      <c r="P58" s="2">
        <f t="shared" si="10"/>
        <v>6</v>
      </c>
      <c r="Q58" s="2">
        <v>80</v>
      </c>
      <c r="R58" s="21" t="s">
        <v>34</v>
      </c>
      <c r="S58" s="21" t="s">
        <v>42</v>
      </c>
      <c r="T58" s="2">
        <v>4</v>
      </c>
      <c r="U58" s="4">
        <v>45748</v>
      </c>
      <c r="V58" s="2">
        <f t="shared" si="11"/>
        <v>111</v>
      </c>
      <c r="W58" s="2">
        <v>3</v>
      </c>
      <c r="X58" s="2">
        <v>3</v>
      </c>
      <c r="Y58" s="6">
        <v>9.1999999999999993</v>
      </c>
      <c r="Z58" s="5">
        <v>0.29599999999999999</v>
      </c>
      <c r="AA58" s="7">
        <f t="shared" si="12"/>
        <v>0.30892873563218387</v>
      </c>
      <c r="AB58" s="7">
        <f t="shared" si="13"/>
        <v>617.85747126436775</v>
      </c>
      <c r="AC58" s="8">
        <f t="shared" si="14"/>
        <v>0.61785747126436774</v>
      </c>
      <c r="AD58" s="6">
        <v>6.86</v>
      </c>
      <c r="AE58" s="6">
        <f t="shared" si="15"/>
        <v>7.1596321839080463</v>
      </c>
      <c r="AF58" s="5">
        <v>9.5152E-2</v>
      </c>
      <c r="AG58" s="7">
        <f t="shared" si="16"/>
        <v>198.6161287356322</v>
      </c>
      <c r="AH58" s="18">
        <f t="shared" si="17"/>
        <v>0.32145945945945953</v>
      </c>
      <c r="AI58" s="2"/>
      <c r="AJ58" s="2"/>
      <c r="AK58" s="2"/>
      <c r="AL58" s="2" t="s">
        <v>66</v>
      </c>
    </row>
    <row r="59" spans="1:38" x14ac:dyDescent="0.3">
      <c r="A59" s="2">
        <v>12</v>
      </c>
      <c r="B59" s="2">
        <v>3</v>
      </c>
      <c r="C59" s="3">
        <v>58</v>
      </c>
      <c r="D59" s="2">
        <v>2</v>
      </c>
      <c r="E59" s="3" t="s">
        <v>100</v>
      </c>
      <c r="F59" s="2" t="s">
        <v>101</v>
      </c>
      <c r="G59" s="4">
        <v>45637</v>
      </c>
      <c r="H59" s="2">
        <v>-48.130145400000004</v>
      </c>
      <c r="I59" s="2">
        <v>-22.7962977</v>
      </c>
      <c r="J59" s="10" t="s">
        <v>41</v>
      </c>
      <c r="K59" s="4">
        <v>45683</v>
      </c>
      <c r="L59" s="2">
        <f t="shared" si="9"/>
        <v>46</v>
      </c>
      <c r="M59" s="2">
        <v>34</v>
      </c>
      <c r="N59" s="4">
        <v>45733</v>
      </c>
      <c r="O59" s="4">
        <v>45746</v>
      </c>
      <c r="P59" s="2">
        <f t="shared" si="10"/>
        <v>13</v>
      </c>
      <c r="Q59" s="2">
        <v>82</v>
      </c>
      <c r="R59" s="21" t="s">
        <v>34</v>
      </c>
      <c r="S59" s="22" t="s">
        <v>35</v>
      </c>
      <c r="T59" s="2">
        <v>5</v>
      </c>
      <c r="U59" s="4">
        <v>45776</v>
      </c>
      <c r="V59" s="2">
        <f t="shared" si="11"/>
        <v>139</v>
      </c>
      <c r="W59" s="2">
        <v>2</v>
      </c>
      <c r="X59" s="2">
        <v>5</v>
      </c>
      <c r="Y59" s="6">
        <v>10.3</v>
      </c>
      <c r="Z59" s="5">
        <v>0.23599999999999999</v>
      </c>
      <c r="AA59" s="7">
        <f t="shared" si="12"/>
        <v>0.24332413793103447</v>
      </c>
      <c r="AB59" s="7">
        <f t="shared" si="13"/>
        <v>486.64827586206894</v>
      </c>
      <c r="AC59" s="8">
        <f t="shared" si="14"/>
        <v>0.48664827586206894</v>
      </c>
      <c r="AD59" s="6">
        <v>7.16</v>
      </c>
      <c r="AE59" s="6">
        <f t="shared" si="15"/>
        <v>7.3822068965517236</v>
      </c>
      <c r="AF59" s="5">
        <v>1.124E-2</v>
      </c>
      <c r="AG59" s="7">
        <f t="shared" si="16"/>
        <v>23.177655172413793</v>
      </c>
      <c r="AH59" s="18">
        <f t="shared" si="17"/>
        <v>4.7627118644067767E-2</v>
      </c>
      <c r="AI59" s="2"/>
      <c r="AJ59" s="2"/>
      <c r="AK59" s="2"/>
      <c r="AL59" s="2"/>
    </row>
    <row r="60" spans="1:38" x14ac:dyDescent="0.3">
      <c r="A60" s="2">
        <v>12</v>
      </c>
      <c r="B60" s="2">
        <v>2</v>
      </c>
      <c r="C60" s="3">
        <v>59</v>
      </c>
      <c r="D60" s="2">
        <v>2</v>
      </c>
      <c r="E60" s="3" t="s">
        <v>64</v>
      </c>
      <c r="F60" s="2" t="s">
        <v>65</v>
      </c>
      <c r="G60" s="4">
        <v>45637</v>
      </c>
      <c r="H60" s="2">
        <v>-47.9671339</v>
      </c>
      <c r="I60" s="2">
        <v>-22.777845599999999</v>
      </c>
      <c r="J60" s="10" t="s">
        <v>41</v>
      </c>
      <c r="K60" s="4">
        <v>45688</v>
      </c>
      <c r="L60" s="2">
        <f t="shared" si="9"/>
        <v>51</v>
      </c>
      <c r="M60" s="2">
        <v>60</v>
      </c>
      <c r="N60" s="4">
        <v>45732</v>
      </c>
      <c r="O60" s="4">
        <v>45744</v>
      </c>
      <c r="P60" s="2">
        <f t="shared" si="10"/>
        <v>12</v>
      </c>
      <c r="Q60" s="2">
        <v>85</v>
      </c>
      <c r="R60" s="23" t="s">
        <v>72</v>
      </c>
      <c r="S60" s="22" t="s">
        <v>35</v>
      </c>
      <c r="T60" s="2">
        <v>2</v>
      </c>
      <c r="U60" s="4">
        <v>45758</v>
      </c>
      <c r="V60" s="2">
        <f t="shared" si="11"/>
        <v>121</v>
      </c>
      <c r="W60" s="2">
        <v>4</v>
      </c>
      <c r="X60" s="2">
        <v>3</v>
      </c>
      <c r="Y60" s="6">
        <v>7.8</v>
      </c>
      <c r="Z60" s="5">
        <v>0.46600000000000003</v>
      </c>
      <c r="AA60" s="7">
        <f t="shared" si="12"/>
        <v>0.49385287356321839</v>
      </c>
      <c r="AB60" s="7">
        <f t="shared" si="13"/>
        <v>987.70574712643679</v>
      </c>
      <c r="AC60" s="8">
        <f t="shared" si="14"/>
        <v>0.98770574712643677</v>
      </c>
      <c r="AD60" s="6">
        <v>13.52</v>
      </c>
      <c r="AE60" s="6">
        <f t="shared" si="15"/>
        <v>14.328091954022987</v>
      </c>
      <c r="AF60" s="5">
        <v>0.20300000000000001</v>
      </c>
      <c r="AG60" s="7">
        <f t="shared" si="16"/>
        <v>430.26666666666671</v>
      </c>
      <c r="AH60" s="18">
        <f t="shared" si="17"/>
        <v>0.43562231759656656</v>
      </c>
      <c r="AI60" s="2"/>
      <c r="AJ60" s="2"/>
      <c r="AK60" s="2"/>
      <c r="AL60" s="2"/>
    </row>
    <row r="61" spans="1:38" x14ac:dyDescent="0.3">
      <c r="A61" s="10">
        <v>12</v>
      </c>
      <c r="B61" s="10">
        <v>1</v>
      </c>
      <c r="C61" s="11">
        <v>60</v>
      </c>
      <c r="D61" s="10">
        <v>2</v>
      </c>
      <c r="E61" s="11" t="s">
        <v>44</v>
      </c>
      <c r="F61" s="10" t="s">
        <v>45</v>
      </c>
      <c r="G61" s="12">
        <v>45637</v>
      </c>
      <c r="H61" s="10">
        <v>-47.9671339</v>
      </c>
      <c r="I61" s="10">
        <v>-22.777845599999999</v>
      </c>
      <c r="J61" s="10" t="s">
        <v>41</v>
      </c>
      <c r="K61" s="12">
        <v>45683</v>
      </c>
      <c r="L61" s="10">
        <f t="shared" si="9"/>
        <v>46</v>
      </c>
      <c r="M61" s="10">
        <v>35</v>
      </c>
      <c r="N61" s="12">
        <v>45731</v>
      </c>
      <c r="O61" s="12">
        <v>45744</v>
      </c>
      <c r="P61" s="10">
        <f t="shared" si="10"/>
        <v>13</v>
      </c>
      <c r="Q61" s="10">
        <v>70</v>
      </c>
      <c r="R61" s="23" t="s">
        <v>72</v>
      </c>
      <c r="S61" s="22" t="s">
        <v>35</v>
      </c>
      <c r="T61" s="10">
        <v>2</v>
      </c>
      <c r="U61" s="12">
        <v>45759</v>
      </c>
      <c r="V61" s="10">
        <f t="shared" si="11"/>
        <v>122</v>
      </c>
      <c r="W61" s="10">
        <v>3</v>
      </c>
      <c r="X61" s="10">
        <v>2</v>
      </c>
      <c r="Y61" s="14">
        <v>11.2</v>
      </c>
      <c r="Z61" s="13">
        <v>0.59599999999999997</v>
      </c>
      <c r="AA61" s="7">
        <f t="shared" si="12"/>
        <v>0.6083310344827586</v>
      </c>
      <c r="AB61" s="7">
        <f t="shared" si="13"/>
        <v>1216.6620689655172</v>
      </c>
      <c r="AC61" s="15">
        <f t="shared" si="14"/>
        <v>1.2166620689655172</v>
      </c>
      <c r="AD61" s="14">
        <v>6.35</v>
      </c>
      <c r="AE61" s="6">
        <f t="shared" si="15"/>
        <v>6.4813793103448276</v>
      </c>
      <c r="AF61" s="13">
        <v>0.223</v>
      </c>
      <c r="AG61" s="7">
        <f t="shared" si="16"/>
        <v>455.22758620689655</v>
      </c>
      <c r="AH61" s="18">
        <f t="shared" si="17"/>
        <v>0.37416107382550345</v>
      </c>
      <c r="AI61" s="10"/>
      <c r="AJ61" s="10"/>
      <c r="AK61" s="10"/>
      <c r="AL61" s="10"/>
    </row>
    <row r="62" spans="1:38" x14ac:dyDescent="0.3">
      <c r="A62" s="2">
        <v>13</v>
      </c>
      <c r="B62" s="2">
        <v>1</v>
      </c>
      <c r="C62" s="3">
        <v>61</v>
      </c>
      <c r="D62" s="2">
        <v>3</v>
      </c>
      <c r="E62" s="3" t="s">
        <v>36</v>
      </c>
      <c r="F62" s="2" t="s">
        <v>37</v>
      </c>
      <c r="G62" s="4">
        <v>45637</v>
      </c>
      <c r="H62" s="2">
        <v>-47.9671339</v>
      </c>
      <c r="I62" s="2">
        <v>-22.777845599999999</v>
      </c>
      <c r="J62" s="2" t="s">
        <v>33</v>
      </c>
      <c r="K62" s="4">
        <v>45681</v>
      </c>
      <c r="L62" s="2">
        <f t="shared" si="9"/>
        <v>44</v>
      </c>
      <c r="M62" s="2">
        <v>45</v>
      </c>
      <c r="N62" s="4">
        <v>45728</v>
      </c>
      <c r="O62" s="4">
        <v>45735</v>
      </c>
      <c r="P62" s="2">
        <f t="shared" si="10"/>
        <v>7</v>
      </c>
      <c r="Q62" s="2">
        <v>80</v>
      </c>
      <c r="R62" s="20" t="s">
        <v>53</v>
      </c>
      <c r="S62" s="20" t="s">
        <v>38</v>
      </c>
      <c r="T62" s="2">
        <v>1</v>
      </c>
      <c r="U62" s="4">
        <v>45745</v>
      </c>
      <c r="V62" s="2">
        <f t="shared" si="11"/>
        <v>108</v>
      </c>
      <c r="W62" s="2">
        <v>5</v>
      </c>
      <c r="X62" s="2">
        <v>3</v>
      </c>
      <c r="Y62" s="6">
        <v>10.7</v>
      </c>
      <c r="Z62" s="5">
        <v>1.216</v>
      </c>
      <c r="AA62" s="7">
        <f t="shared" si="12"/>
        <v>1.2481471264367814</v>
      </c>
      <c r="AB62" s="7">
        <f t="shared" si="13"/>
        <v>2496.2942528735625</v>
      </c>
      <c r="AC62" s="8">
        <f t="shared" si="14"/>
        <v>2.4962942528735623</v>
      </c>
      <c r="AD62" s="6">
        <v>11.71</v>
      </c>
      <c r="AE62" s="6">
        <f t="shared" si="15"/>
        <v>12.019574712643678</v>
      </c>
      <c r="AF62" s="5">
        <v>0.621</v>
      </c>
      <c r="AG62" s="7">
        <f t="shared" si="16"/>
        <v>1274.8344827586207</v>
      </c>
      <c r="AH62" s="18">
        <f t="shared" si="17"/>
        <v>0.51069078947368429</v>
      </c>
      <c r="AI62" s="2"/>
      <c r="AJ62" s="2"/>
      <c r="AK62" s="2"/>
      <c r="AL62" s="2" t="s">
        <v>113</v>
      </c>
    </row>
    <row r="63" spans="1:38" x14ac:dyDescent="0.3">
      <c r="A63" s="2">
        <v>13</v>
      </c>
      <c r="B63" s="2">
        <v>2</v>
      </c>
      <c r="C63" s="3">
        <v>62</v>
      </c>
      <c r="D63" s="2">
        <v>3</v>
      </c>
      <c r="E63" s="3" t="s">
        <v>47</v>
      </c>
      <c r="F63" s="2" t="s">
        <v>48</v>
      </c>
      <c r="G63" s="4">
        <v>45637</v>
      </c>
      <c r="H63" s="2">
        <v>-48.130145400000004</v>
      </c>
      <c r="I63" s="2">
        <v>-22.7962977</v>
      </c>
      <c r="J63" s="10" t="s">
        <v>41</v>
      </c>
      <c r="K63" s="4">
        <v>45683</v>
      </c>
      <c r="L63" s="2">
        <f t="shared" si="9"/>
        <v>46</v>
      </c>
      <c r="M63" s="2">
        <v>50</v>
      </c>
      <c r="N63" s="4">
        <v>45728</v>
      </c>
      <c r="O63" s="4">
        <v>45734</v>
      </c>
      <c r="P63" s="2">
        <f t="shared" si="10"/>
        <v>6</v>
      </c>
      <c r="Q63" s="2">
        <v>83</v>
      </c>
      <c r="R63" s="23" t="s">
        <v>72</v>
      </c>
      <c r="S63" s="2"/>
      <c r="T63" s="2">
        <v>5</v>
      </c>
      <c r="U63" s="4">
        <v>45741</v>
      </c>
      <c r="V63" s="2">
        <f t="shared" si="11"/>
        <v>104</v>
      </c>
      <c r="W63" s="2">
        <v>2</v>
      </c>
      <c r="X63" s="2">
        <v>1</v>
      </c>
      <c r="Y63" s="6">
        <v>9.6999999999999993</v>
      </c>
      <c r="Z63" s="5">
        <v>0.53</v>
      </c>
      <c r="AA63" s="7">
        <f t="shared" si="12"/>
        <v>0.55010344827586211</v>
      </c>
      <c r="AB63" s="7">
        <f t="shared" si="13"/>
        <v>1100.2068965517242</v>
      </c>
      <c r="AC63" s="8">
        <f t="shared" si="14"/>
        <v>1.1002068965517242</v>
      </c>
      <c r="AD63" s="6">
        <v>6.38</v>
      </c>
      <c r="AE63" s="6">
        <f t="shared" si="15"/>
        <v>6.6219999999999999</v>
      </c>
      <c r="AF63" s="5">
        <v>0.16900000000000001</v>
      </c>
      <c r="AG63" s="7">
        <f t="shared" si="16"/>
        <v>350.82068965517243</v>
      </c>
      <c r="AH63" s="18">
        <f t="shared" si="17"/>
        <v>0.31886792452830182</v>
      </c>
      <c r="AI63" s="2"/>
      <c r="AJ63" s="2"/>
      <c r="AK63" s="2"/>
      <c r="AL63" s="2"/>
    </row>
    <row r="64" spans="1:38" x14ac:dyDescent="0.3">
      <c r="A64" s="2">
        <v>13</v>
      </c>
      <c r="B64" s="2">
        <v>3</v>
      </c>
      <c r="C64" s="3">
        <v>63</v>
      </c>
      <c r="D64" s="2">
        <v>3</v>
      </c>
      <c r="E64" s="3" t="s">
        <v>67</v>
      </c>
      <c r="F64" s="2" t="s">
        <v>68</v>
      </c>
      <c r="G64" s="4">
        <v>45637</v>
      </c>
      <c r="H64" s="2">
        <v>-48.116180300000003</v>
      </c>
      <c r="I64" s="2">
        <v>-22.7773</v>
      </c>
      <c r="J64" s="2" t="s">
        <v>33</v>
      </c>
      <c r="K64" s="4">
        <v>45681</v>
      </c>
      <c r="L64" s="2">
        <f t="shared" si="9"/>
        <v>44</v>
      </c>
      <c r="M64" s="2">
        <v>49</v>
      </c>
      <c r="N64" s="4">
        <v>45726</v>
      </c>
      <c r="O64" s="4">
        <v>45737</v>
      </c>
      <c r="P64" s="2">
        <f t="shared" si="10"/>
        <v>11</v>
      </c>
      <c r="Q64" s="2">
        <v>80</v>
      </c>
      <c r="R64" s="20" t="s">
        <v>53</v>
      </c>
      <c r="S64" s="20" t="s">
        <v>38</v>
      </c>
      <c r="T64" s="2">
        <v>1</v>
      </c>
      <c r="U64" s="4">
        <v>45745</v>
      </c>
      <c r="V64" s="2">
        <f t="shared" si="11"/>
        <v>108</v>
      </c>
      <c r="W64" s="2">
        <v>5</v>
      </c>
      <c r="X64" s="2">
        <v>3</v>
      </c>
      <c r="Y64" s="6">
        <v>10.3</v>
      </c>
      <c r="Z64" s="5">
        <v>0.86599999999999999</v>
      </c>
      <c r="AA64" s="7">
        <f t="shared" si="12"/>
        <v>0.89287586206896552</v>
      </c>
      <c r="AB64" s="7">
        <f t="shared" si="13"/>
        <v>1785.7517241379312</v>
      </c>
      <c r="AC64" s="8">
        <f t="shared" si="14"/>
        <v>1.7857517241379313</v>
      </c>
      <c r="AD64" s="6">
        <v>9.85</v>
      </c>
      <c r="AE64" s="6">
        <f t="shared" si="15"/>
        <v>10.155689655172413</v>
      </c>
      <c r="AF64" s="5">
        <v>0.47899999999999998</v>
      </c>
      <c r="AG64" s="7">
        <f t="shared" si="16"/>
        <v>987.73103448275867</v>
      </c>
      <c r="AH64" s="18">
        <f t="shared" si="17"/>
        <v>0.55311778290993074</v>
      </c>
      <c r="AI64" s="2"/>
      <c r="AJ64" s="2"/>
      <c r="AK64" s="2"/>
      <c r="AL64" s="2"/>
    </row>
    <row r="65" spans="1:38" x14ac:dyDescent="0.3">
      <c r="A65" s="2">
        <v>13</v>
      </c>
      <c r="B65" s="2">
        <v>4</v>
      </c>
      <c r="C65" s="3">
        <v>64</v>
      </c>
      <c r="D65" s="2">
        <v>3</v>
      </c>
      <c r="E65" s="3" t="s">
        <v>106</v>
      </c>
      <c r="F65" s="2" t="s">
        <v>107</v>
      </c>
      <c r="G65" s="4">
        <v>45637</v>
      </c>
      <c r="H65" s="2">
        <v>-48.097255500000003</v>
      </c>
      <c r="I65" s="2">
        <v>-22.565214699999999</v>
      </c>
      <c r="J65" s="10" t="s">
        <v>41</v>
      </c>
      <c r="K65" s="4">
        <v>45684</v>
      </c>
      <c r="L65" s="2">
        <f t="shared" si="9"/>
        <v>47</v>
      </c>
      <c r="M65" s="2">
        <v>38</v>
      </c>
      <c r="N65" s="4">
        <v>45729</v>
      </c>
      <c r="O65" s="4">
        <v>45746</v>
      </c>
      <c r="P65" s="2">
        <f t="shared" si="10"/>
        <v>17</v>
      </c>
      <c r="Q65" s="2">
        <v>86</v>
      </c>
      <c r="R65" s="21" t="s">
        <v>34</v>
      </c>
      <c r="S65" s="22" t="s">
        <v>35</v>
      </c>
      <c r="T65" s="2">
        <v>1</v>
      </c>
      <c r="U65" s="4">
        <v>45776</v>
      </c>
      <c r="V65" s="2">
        <f t="shared" si="11"/>
        <v>139</v>
      </c>
      <c r="W65" s="2">
        <v>3</v>
      </c>
      <c r="X65" s="2">
        <v>5</v>
      </c>
      <c r="Y65" s="6">
        <v>6.8</v>
      </c>
      <c r="Z65" s="5">
        <v>0.14399999999999999</v>
      </c>
      <c r="AA65" s="7">
        <f t="shared" si="12"/>
        <v>0.15426206896551725</v>
      </c>
      <c r="AB65" s="7">
        <f t="shared" si="13"/>
        <v>308.52413793103449</v>
      </c>
      <c r="AC65" s="8">
        <f t="shared" si="14"/>
        <v>0.3085241379310345</v>
      </c>
      <c r="AD65" s="6">
        <v>7.06</v>
      </c>
      <c r="AE65" s="6">
        <f t="shared" si="15"/>
        <v>7.5631264367816096</v>
      </c>
      <c r="AF65" s="5">
        <v>3.7699999999999999E-3</v>
      </c>
      <c r="AG65" s="7">
        <f t="shared" si="16"/>
        <v>8.0773333333333337</v>
      </c>
      <c r="AH65" s="18">
        <f t="shared" si="17"/>
        <v>2.618055555555554E-2</v>
      </c>
      <c r="AI65" s="2"/>
      <c r="AJ65" s="2"/>
      <c r="AK65" s="2"/>
      <c r="AL65" s="2" t="s">
        <v>114</v>
      </c>
    </row>
    <row r="66" spans="1:38" x14ac:dyDescent="0.3">
      <c r="A66" s="2">
        <v>13</v>
      </c>
      <c r="B66" s="2">
        <v>5</v>
      </c>
      <c r="C66" s="3">
        <v>65</v>
      </c>
      <c r="D66" s="2">
        <v>3</v>
      </c>
      <c r="E66" s="3" t="s">
        <v>98</v>
      </c>
      <c r="F66" s="2" t="s">
        <v>99</v>
      </c>
      <c r="G66" s="4">
        <v>45637</v>
      </c>
      <c r="H66" s="2">
        <v>-47.888903200000001</v>
      </c>
      <c r="I66" s="2">
        <v>-23.028588800000001</v>
      </c>
      <c r="J66" s="10" t="s">
        <v>41</v>
      </c>
      <c r="K66" s="4">
        <v>45680</v>
      </c>
      <c r="L66" s="2">
        <f t="shared" ref="L66:L97" si="18">K66-G66</f>
        <v>43</v>
      </c>
      <c r="M66" s="2">
        <v>51</v>
      </c>
      <c r="N66" s="4">
        <v>45717</v>
      </c>
      <c r="O66" s="4">
        <v>45733</v>
      </c>
      <c r="P66" s="2">
        <f t="shared" ref="P66:P97" si="19">O66-N66</f>
        <v>16</v>
      </c>
      <c r="Q66" s="2">
        <v>80</v>
      </c>
      <c r="R66" s="20" t="s">
        <v>53</v>
      </c>
      <c r="S66" s="20" t="s">
        <v>38</v>
      </c>
      <c r="T66" s="2">
        <v>2</v>
      </c>
      <c r="U66" s="4">
        <v>45741</v>
      </c>
      <c r="V66" s="2">
        <f t="shared" ref="V66:V97" si="20">U66-G66</f>
        <v>104</v>
      </c>
      <c r="W66" s="2">
        <v>3</v>
      </c>
      <c r="X66" s="2">
        <v>2</v>
      </c>
      <c r="Y66" s="6">
        <v>9.6</v>
      </c>
      <c r="Z66" s="5">
        <v>0.624</v>
      </c>
      <c r="AA66" s="7">
        <f t="shared" ref="AA66:AA97" si="21">(Z66*((100-Y66)/(100-13)))</f>
        <v>0.6483862068965518</v>
      </c>
      <c r="AB66" s="7">
        <f t="shared" ref="AB66:AB91" si="22">(Z66*((100-Y66)/(100-13))/5)*10000</f>
        <v>1296.7724137931036</v>
      </c>
      <c r="AC66" s="8">
        <f t="shared" ref="AC66:AC97" si="23">AB66/1000</f>
        <v>1.2967724137931036</v>
      </c>
      <c r="AD66" s="6">
        <v>10.63</v>
      </c>
      <c r="AE66" s="6">
        <f t="shared" ref="AE66:AE97" si="24">(AD66*((100-Y66)/(100-13)))</f>
        <v>11.045425287356323</v>
      </c>
      <c r="AF66" s="5">
        <v>0.28799999999999998</v>
      </c>
      <c r="AG66" s="7">
        <f t="shared" ref="AG66:AG97" si="25">(AF66*((100-Y66)/(100-13))/5)*10000</f>
        <v>598.51034482758621</v>
      </c>
      <c r="AH66" s="18">
        <f t="shared" ref="AH66:AH97" si="26">((1-(AB66 -AG66)/AB66))</f>
        <v>0.46153846153846145</v>
      </c>
      <c r="AI66" s="2"/>
      <c r="AJ66" s="2"/>
      <c r="AK66" s="2"/>
      <c r="AL66" s="2" t="s">
        <v>115</v>
      </c>
    </row>
    <row r="67" spans="1:38" x14ac:dyDescent="0.3">
      <c r="A67" s="2">
        <v>14</v>
      </c>
      <c r="B67" s="2">
        <v>5</v>
      </c>
      <c r="C67" s="3">
        <v>66</v>
      </c>
      <c r="D67" s="2">
        <v>3</v>
      </c>
      <c r="E67" s="3" t="s">
        <v>75</v>
      </c>
      <c r="F67" s="2" t="s">
        <v>76</v>
      </c>
      <c r="G67" s="4">
        <v>45637</v>
      </c>
      <c r="H67" s="2">
        <v>-47.9671339</v>
      </c>
      <c r="I67" s="2">
        <v>-22.777845599999999</v>
      </c>
      <c r="J67" s="2" t="s">
        <v>33</v>
      </c>
      <c r="K67" s="4">
        <v>45693</v>
      </c>
      <c r="L67" s="2">
        <f t="shared" si="18"/>
        <v>56</v>
      </c>
      <c r="M67" s="2">
        <v>66</v>
      </c>
      <c r="N67" s="4">
        <v>45729</v>
      </c>
      <c r="O67" s="4">
        <v>45745</v>
      </c>
      <c r="P67" s="2">
        <f t="shared" si="19"/>
        <v>16</v>
      </c>
      <c r="Q67" s="2">
        <v>96</v>
      </c>
      <c r="R67" s="21" t="s">
        <v>34</v>
      </c>
      <c r="S67" s="23" t="s">
        <v>49</v>
      </c>
      <c r="T67" s="2">
        <v>5</v>
      </c>
      <c r="U67" s="4">
        <v>45774</v>
      </c>
      <c r="V67" s="2">
        <f t="shared" si="20"/>
        <v>137</v>
      </c>
      <c r="W67" s="2">
        <v>2</v>
      </c>
      <c r="X67" s="2">
        <v>5</v>
      </c>
      <c r="Y67" s="6">
        <v>9.5</v>
      </c>
      <c r="Z67" s="5">
        <v>0.186</v>
      </c>
      <c r="AA67" s="7">
        <f t="shared" si="21"/>
        <v>0.19348275862068964</v>
      </c>
      <c r="AB67" s="7">
        <f t="shared" si="22"/>
        <v>386.96551724137925</v>
      </c>
      <c r="AC67" s="8">
        <f t="shared" si="23"/>
        <v>0.38696551724137923</v>
      </c>
      <c r="AD67" s="6">
        <v>7.19</v>
      </c>
      <c r="AE67" s="6">
        <f t="shared" si="24"/>
        <v>7.479252873563218</v>
      </c>
      <c r="AF67" s="5">
        <v>7.0000000000000001E-3</v>
      </c>
      <c r="AG67" s="7">
        <f t="shared" si="25"/>
        <v>14.563218390804597</v>
      </c>
      <c r="AH67" s="18">
        <f t="shared" si="26"/>
        <v>3.7634408602150504E-2</v>
      </c>
      <c r="AI67" s="2"/>
      <c r="AJ67" s="2"/>
      <c r="AK67" s="2"/>
      <c r="AL67" s="2" t="s">
        <v>66</v>
      </c>
    </row>
    <row r="68" spans="1:38" x14ac:dyDescent="0.3">
      <c r="A68" s="2">
        <v>14</v>
      </c>
      <c r="B68" s="2">
        <v>4</v>
      </c>
      <c r="C68" s="3">
        <v>67</v>
      </c>
      <c r="D68" s="2">
        <v>3</v>
      </c>
      <c r="E68" s="3" t="s">
        <v>60</v>
      </c>
      <c r="F68" s="2" t="s">
        <v>61</v>
      </c>
      <c r="G68" s="4">
        <v>45637</v>
      </c>
      <c r="H68" s="2">
        <v>-48.097255500000003</v>
      </c>
      <c r="I68" s="2">
        <v>-22.565214699999999</v>
      </c>
      <c r="J68" s="10" t="s">
        <v>41</v>
      </c>
      <c r="K68" s="4">
        <v>45689</v>
      </c>
      <c r="L68" s="2">
        <f t="shared" si="18"/>
        <v>52</v>
      </c>
      <c r="M68" s="2">
        <v>74</v>
      </c>
      <c r="N68" s="4">
        <v>45731</v>
      </c>
      <c r="O68" s="4">
        <v>45734</v>
      </c>
      <c r="P68" s="2">
        <f t="shared" si="19"/>
        <v>3</v>
      </c>
      <c r="Q68" s="2">
        <v>83</v>
      </c>
      <c r="R68" s="20" t="s">
        <v>53</v>
      </c>
      <c r="S68" s="20" t="s">
        <v>38</v>
      </c>
      <c r="T68" s="2">
        <v>1</v>
      </c>
      <c r="U68" s="4">
        <v>45769</v>
      </c>
      <c r="V68" s="2">
        <f t="shared" si="20"/>
        <v>132</v>
      </c>
      <c r="W68" s="2">
        <v>3</v>
      </c>
      <c r="X68" s="2">
        <v>5</v>
      </c>
      <c r="Y68" s="6">
        <v>11</v>
      </c>
      <c r="Z68" s="5">
        <v>0.40400000000000003</v>
      </c>
      <c r="AA68" s="7">
        <f t="shared" si="21"/>
        <v>0.41328735632183911</v>
      </c>
      <c r="AB68" s="7">
        <f t="shared" si="22"/>
        <v>826.57471264367814</v>
      </c>
      <c r="AC68" s="8">
        <f t="shared" si="23"/>
        <v>0.8265747126436781</v>
      </c>
      <c r="AD68" s="6">
        <v>12.88</v>
      </c>
      <c r="AE68" s="6">
        <f t="shared" si="24"/>
        <v>13.176091954022988</v>
      </c>
      <c r="AF68" s="5">
        <v>1.4200000000000001E-2</v>
      </c>
      <c r="AG68" s="7">
        <f t="shared" si="25"/>
        <v>29.052873563218391</v>
      </c>
      <c r="AH68" s="18">
        <f t="shared" si="26"/>
        <v>3.514851485148518E-2</v>
      </c>
      <c r="AI68" s="2"/>
      <c r="AJ68" s="2"/>
      <c r="AK68" s="2"/>
      <c r="AL68" s="2"/>
    </row>
    <row r="69" spans="1:38" x14ac:dyDescent="0.3">
      <c r="A69" s="2">
        <v>14</v>
      </c>
      <c r="B69" s="2">
        <v>3</v>
      </c>
      <c r="C69" s="3">
        <v>68</v>
      </c>
      <c r="D69" s="2">
        <v>3</v>
      </c>
      <c r="E69" s="3" t="s">
        <v>84</v>
      </c>
      <c r="F69" s="2" t="s">
        <v>85</v>
      </c>
      <c r="G69" s="4">
        <v>45637</v>
      </c>
      <c r="H69" s="2">
        <v>-47.9671339</v>
      </c>
      <c r="I69" s="2">
        <v>-22.777845599999999</v>
      </c>
      <c r="J69" s="2" t="s">
        <v>33</v>
      </c>
      <c r="K69" s="4">
        <v>45689</v>
      </c>
      <c r="L69" s="2">
        <f t="shared" si="18"/>
        <v>52</v>
      </c>
      <c r="M69" s="2">
        <v>66</v>
      </c>
      <c r="N69" s="4">
        <v>45732</v>
      </c>
      <c r="O69" s="4">
        <v>45738</v>
      </c>
      <c r="P69" s="2">
        <f t="shared" si="19"/>
        <v>6</v>
      </c>
      <c r="Q69" s="2">
        <v>80</v>
      </c>
      <c r="R69" s="21" t="s">
        <v>34</v>
      </c>
      <c r="S69" s="21" t="s">
        <v>42</v>
      </c>
      <c r="T69" s="2">
        <v>4</v>
      </c>
      <c r="U69" s="4">
        <v>45746</v>
      </c>
      <c r="V69" s="2">
        <f t="shared" si="20"/>
        <v>109</v>
      </c>
      <c r="W69" s="2">
        <v>3</v>
      </c>
      <c r="X69" s="2">
        <v>3</v>
      </c>
      <c r="Y69" s="6">
        <v>9.5</v>
      </c>
      <c r="Z69" s="5">
        <v>0.53</v>
      </c>
      <c r="AA69" s="7">
        <f t="shared" si="21"/>
        <v>0.55132183908045973</v>
      </c>
      <c r="AB69" s="7">
        <f t="shared" si="22"/>
        <v>1102.6436781609195</v>
      </c>
      <c r="AC69" s="8">
        <f t="shared" si="23"/>
        <v>1.1026436781609195</v>
      </c>
      <c r="AD69" s="6">
        <v>7.41</v>
      </c>
      <c r="AE69" s="6">
        <f t="shared" si="24"/>
        <v>7.7081034482758612</v>
      </c>
      <c r="AF69" s="5">
        <v>0.24399999999999999</v>
      </c>
      <c r="AG69" s="7">
        <f t="shared" si="25"/>
        <v>507.63218390804587</v>
      </c>
      <c r="AH69" s="18">
        <f t="shared" si="26"/>
        <v>0.46037735849056594</v>
      </c>
      <c r="AI69" s="2"/>
      <c r="AJ69" s="2"/>
      <c r="AK69" s="2"/>
      <c r="AL69" s="2" t="s">
        <v>116</v>
      </c>
    </row>
    <row r="70" spans="1:38" x14ac:dyDescent="0.3">
      <c r="A70" s="2">
        <v>14</v>
      </c>
      <c r="B70" s="2">
        <v>2</v>
      </c>
      <c r="C70" s="3">
        <v>69</v>
      </c>
      <c r="D70" s="2">
        <v>3</v>
      </c>
      <c r="E70" s="3" t="s">
        <v>79</v>
      </c>
      <c r="F70" s="2" t="s">
        <v>80</v>
      </c>
      <c r="G70" s="4">
        <v>45637</v>
      </c>
      <c r="H70" s="2">
        <v>-47.9671339</v>
      </c>
      <c r="I70" s="2">
        <v>-22.777845599999999</v>
      </c>
      <c r="J70" s="10" t="s">
        <v>41</v>
      </c>
      <c r="K70" s="4">
        <v>45682</v>
      </c>
      <c r="L70" s="2">
        <f t="shared" si="18"/>
        <v>45</v>
      </c>
      <c r="M70" s="2">
        <v>42</v>
      </c>
      <c r="N70" s="4">
        <v>45728</v>
      </c>
      <c r="O70" s="4">
        <v>45737</v>
      </c>
      <c r="P70" s="2">
        <f t="shared" si="19"/>
        <v>9</v>
      </c>
      <c r="Q70" s="2">
        <v>70</v>
      </c>
      <c r="R70" s="20" t="s">
        <v>53</v>
      </c>
      <c r="S70" s="20" t="s">
        <v>38</v>
      </c>
      <c r="T70" s="2">
        <v>1</v>
      </c>
      <c r="U70" s="4">
        <v>45746</v>
      </c>
      <c r="V70" s="2">
        <f t="shared" si="20"/>
        <v>109</v>
      </c>
      <c r="W70" s="2">
        <v>4</v>
      </c>
      <c r="X70" s="2">
        <v>3</v>
      </c>
      <c r="Y70" s="6">
        <v>9.3000000000000007</v>
      </c>
      <c r="Z70" s="5">
        <v>0.70199999999999996</v>
      </c>
      <c r="AA70" s="7">
        <f t="shared" si="21"/>
        <v>0.73185517241379305</v>
      </c>
      <c r="AB70" s="7">
        <f t="shared" si="22"/>
        <v>1463.7103448275861</v>
      </c>
      <c r="AC70" s="8">
        <f t="shared" si="23"/>
        <v>1.4637103448275861</v>
      </c>
      <c r="AD70" s="6">
        <v>12.99</v>
      </c>
      <c r="AE70" s="6">
        <f t="shared" si="24"/>
        <v>13.542448275862069</v>
      </c>
      <c r="AF70" s="5">
        <v>0.33700000000000002</v>
      </c>
      <c r="AG70" s="7">
        <f t="shared" si="25"/>
        <v>702.66436781609195</v>
      </c>
      <c r="AH70" s="18">
        <f t="shared" si="26"/>
        <v>0.48005698005698005</v>
      </c>
      <c r="AI70" s="2"/>
      <c r="AJ70" s="2"/>
      <c r="AK70" s="2"/>
      <c r="AL70" s="2"/>
    </row>
    <row r="71" spans="1:38" x14ac:dyDescent="0.3">
      <c r="A71" s="2">
        <v>14</v>
      </c>
      <c r="B71" s="2">
        <v>1</v>
      </c>
      <c r="C71" s="3">
        <v>70</v>
      </c>
      <c r="D71" s="2">
        <v>3</v>
      </c>
      <c r="E71" s="3" t="s">
        <v>100</v>
      </c>
      <c r="F71" s="2" t="s">
        <v>101</v>
      </c>
      <c r="G71" s="4">
        <v>45637</v>
      </c>
      <c r="H71" s="2">
        <v>-48.231422799999997</v>
      </c>
      <c r="I71" s="2">
        <v>-22.6605235</v>
      </c>
      <c r="J71" s="2" t="s">
        <v>33</v>
      </c>
      <c r="K71" s="4">
        <v>45690</v>
      </c>
      <c r="L71" s="2">
        <f t="shared" si="18"/>
        <v>53</v>
      </c>
      <c r="M71" s="2">
        <v>62</v>
      </c>
      <c r="N71" s="4">
        <v>45733</v>
      </c>
      <c r="O71" s="4">
        <v>45739</v>
      </c>
      <c r="P71" s="2">
        <f t="shared" si="19"/>
        <v>6</v>
      </c>
      <c r="Q71" s="2">
        <v>78</v>
      </c>
      <c r="R71" s="23" t="s">
        <v>72</v>
      </c>
      <c r="S71" s="22" t="s">
        <v>35</v>
      </c>
      <c r="T71" s="2">
        <v>1</v>
      </c>
      <c r="U71" s="4">
        <v>45748</v>
      </c>
      <c r="V71" s="2">
        <f t="shared" si="20"/>
        <v>111</v>
      </c>
      <c r="W71" s="2">
        <v>5</v>
      </c>
      <c r="X71" s="2">
        <v>2</v>
      </c>
      <c r="Y71" s="6">
        <v>9.5</v>
      </c>
      <c r="Z71" s="5">
        <v>0.71199999999999997</v>
      </c>
      <c r="AA71" s="7">
        <f t="shared" si="21"/>
        <v>0.74064367816091947</v>
      </c>
      <c r="AB71" s="7">
        <f t="shared" si="22"/>
        <v>1481.2873563218391</v>
      </c>
      <c r="AC71" s="8">
        <f t="shared" si="23"/>
        <v>1.4812873563218392</v>
      </c>
      <c r="AD71" s="6">
        <v>8.6</v>
      </c>
      <c r="AE71" s="6">
        <f t="shared" si="24"/>
        <v>8.9459770114942518</v>
      </c>
      <c r="AF71" s="5">
        <v>0.34399999999999997</v>
      </c>
      <c r="AG71" s="7">
        <f t="shared" si="25"/>
        <v>715.67816091954012</v>
      </c>
      <c r="AH71" s="18">
        <f t="shared" si="26"/>
        <v>0.4831460674157303</v>
      </c>
      <c r="AI71" s="2"/>
      <c r="AJ71" s="2"/>
      <c r="AK71" s="2"/>
      <c r="AL71" s="2"/>
    </row>
    <row r="72" spans="1:38" x14ac:dyDescent="0.3">
      <c r="A72" s="2">
        <v>15</v>
      </c>
      <c r="B72" s="2">
        <v>1</v>
      </c>
      <c r="C72" s="3">
        <v>71</v>
      </c>
      <c r="D72" s="2">
        <v>3</v>
      </c>
      <c r="E72" s="3" t="s">
        <v>62</v>
      </c>
      <c r="F72" s="2" t="s">
        <v>63</v>
      </c>
      <c r="G72" s="4">
        <v>45637</v>
      </c>
      <c r="H72" s="2">
        <v>-47.9671339</v>
      </c>
      <c r="I72" s="2">
        <v>-22.777845599999999</v>
      </c>
      <c r="J72" s="10" t="s">
        <v>41</v>
      </c>
      <c r="K72" s="4">
        <v>45691</v>
      </c>
      <c r="L72" s="2">
        <f t="shared" si="18"/>
        <v>54</v>
      </c>
      <c r="M72" s="2">
        <v>61</v>
      </c>
      <c r="N72" s="4">
        <v>45729</v>
      </c>
      <c r="O72" s="4">
        <v>45740</v>
      </c>
      <c r="P72" s="2">
        <f t="shared" si="19"/>
        <v>11</v>
      </c>
      <c r="Q72" s="2">
        <v>83</v>
      </c>
      <c r="R72" s="21" t="s">
        <v>34</v>
      </c>
      <c r="S72" s="21" t="s">
        <v>42</v>
      </c>
      <c r="T72" s="2">
        <v>3</v>
      </c>
      <c r="U72" s="4">
        <v>45769</v>
      </c>
      <c r="V72" s="2">
        <f t="shared" si="20"/>
        <v>132</v>
      </c>
      <c r="W72" s="2">
        <v>3</v>
      </c>
      <c r="X72" s="2">
        <v>5</v>
      </c>
      <c r="Y72" s="6">
        <v>10.5</v>
      </c>
      <c r="Z72" s="5">
        <v>0.37</v>
      </c>
      <c r="AA72" s="7">
        <f t="shared" si="21"/>
        <v>0.38063218390804598</v>
      </c>
      <c r="AB72" s="7">
        <f t="shared" si="22"/>
        <v>761.26436781609198</v>
      </c>
      <c r="AC72" s="8">
        <f t="shared" si="23"/>
        <v>0.76126436781609197</v>
      </c>
      <c r="AD72" s="6">
        <v>10.72</v>
      </c>
      <c r="AE72" s="6">
        <f t="shared" si="24"/>
        <v>11.028045977011494</v>
      </c>
      <c r="AF72" s="5">
        <v>3.0269999999999998E-2</v>
      </c>
      <c r="AG72" s="7">
        <f t="shared" si="25"/>
        <v>62.279655172413783</v>
      </c>
      <c r="AH72" s="18">
        <f t="shared" si="26"/>
        <v>8.1810810810810763E-2</v>
      </c>
      <c r="AI72" s="2"/>
      <c r="AJ72" s="2"/>
      <c r="AK72" s="2"/>
      <c r="AL72" s="2"/>
    </row>
    <row r="73" spans="1:38" x14ac:dyDescent="0.3">
      <c r="A73" s="2">
        <v>15</v>
      </c>
      <c r="B73" s="2">
        <v>2</v>
      </c>
      <c r="C73" s="3">
        <v>72</v>
      </c>
      <c r="D73" s="2">
        <v>3</v>
      </c>
      <c r="E73" s="3" t="s">
        <v>77</v>
      </c>
      <c r="F73" s="2" t="s">
        <v>78</v>
      </c>
      <c r="G73" s="4">
        <v>45637</v>
      </c>
      <c r="H73" s="2">
        <v>-48.097255500000003</v>
      </c>
      <c r="I73" s="2">
        <v>-22.565214699999999</v>
      </c>
      <c r="J73" s="10" t="s">
        <v>41</v>
      </c>
      <c r="K73" s="4">
        <v>45692</v>
      </c>
      <c r="L73" s="2">
        <f t="shared" si="18"/>
        <v>55</v>
      </c>
      <c r="M73" s="2">
        <v>72</v>
      </c>
      <c r="N73" s="4">
        <v>45729</v>
      </c>
      <c r="O73" s="4">
        <v>45739</v>
      </c>
      <c r="P73" s="2">
        <f t="shared" si="19"/>
        <v>10</v>
      </c>
      <c r="Q73" s="2">
        <v>91</v>
      </c>
      <c r="R73" s="21" t="s">
        <v>34</v>
      </c>
      <c r="S73" s="23" t="s">
        <v>49</v>
      </c>
      <c r="T73" s="2">
        <v>3</v>
      </c>
      <c r="U73" s="4">
        <v>45760</v>
      </c>
      <c r="V73" s="2">
        <f t="shared" si="20"/>
        <v>123</v>
      </c>
      <c r="W73" s="2">
        <v>3</v>
      </c>
      <c r="X73" s="2">
        <v>3</v>
      </c>
      <c r="Y73" s="6">
        <v>10.8</v>
      </c>
      <c r="Z73" s="5">
        <v>0.318</v>
      </c>
      <c r="AA73" s="7">
        <f t="shared" si="21"/>
        <v>0.32604137931034488</v>
      </c>
      <c r="AB73" s="7">
        <f t="shared" si="22"/>
        <v>652.08275862068979</v>
      </c>
      <c r="AC73" s="8">
        <f t="shared" si="23"/>
        <v>0.65208275862068976</v>
      </c>
      <c r="AD73" s="6">
        <v>8.3800000000000008</v>
      </c>
      <c r="AE73" s="6">
        <f t="shared" si="24"/>
        <v>8.5919080459770125</v>
      </c>
      <c r="AF73" s="5">
        <v>8.9999999999999993E-3</v>
      </c>
      <c r="AG73" s="7">
        <f t="shared" si="25"/>
        <v>18.455172413793104</v>
      </c>
      <c r="AH73" s="18">
        <f t="shared" si="26"/>
        <v>2.8301886792452824E-2</v>
      </c>
      <c r="AI73" s="2"/>
      <c r="AJ73" s="2"/>
      <c r="AK73" s="2"/>
      <c r="AL73" s="2"/>
    </row>
    <row r="74" spans="1:38" x14ac:dyDescent="0.3">
      <c r="A74" s="2">
        <v>15</v>
      </c>
      <c r="B74" s="2">
        <v>3</v>
      </c>
      <c r="C74" s="3">
        <v>73</v>
      </c>
      <c r="D74" s="2">
        <v>3</v>
      </c>
      <c r="E74" s="3" t="s">
        <v>56</v>
      </c>
      <c r="F74" s="2" t="s">
        <v>57</v>
      </c>
      <c r="G74" s="4">
        <v>45637</v>
      </c>
      <c r="H74" s="2">
        <v>-48.097255500000003</v>
      </c>
      <c r="I74" s="2">
        <v>-22.565214699999999</v>
      </c>
      <c r="J74" s="2" t="s">
        <v>33</v>
      </c>
      <c r="K74" s="4">
        <v>45693</v>
      </c>
      <c r="L74" s="2">
        <f t="shared" si="18"/>
        <v>56</v>
      </c>
      <c r="M74" s="2">
        <v>60</v>
      </c>
      <c r="N74" s="4">
        <v>45730</v>
      </c>
      <c r="O74" s="4">
        <v>45742</v>
      </c>
      <c r="P74" s="2">
        <f t="shared" si="19"/>
        <v>12</v>
      </c>
      <c r="Q74" s="2">
        <v>82</v>
      </c>
      <c r="R74" s="23" t="s">
        <v>72</v>
      </c>
      <c r="S74" s="22" t="s">
        <v>35</v>
      </c>
      <c r="T74" s="2">
        <v>1</v>
      </c>
      <c r="U74" s="4">
        <v>45774</v>
      </c>
      <c r="V74" s="2">
        <f t="shared" si="20"/>
        <v>137</v>
      </c>
      <c r="W74" s="2">
        <v>4</v>
      </c>
      <c r="X74" s="2">
        <v>5</v>
      </c>
      <c r="Y74" s="6">
        <v>9.3000000000000007</v>
      </c>
      <c r="Z74" s="5">
        <v>0.20599999999999999</v>
      </c>
      <c r="AA74" s="7">
        <f t="shared" si="21"/>
        <v>0.21476091954022988</v>
      </c>
      <c r="AB74" s="7">
        <f t="shared" si="22"/>
        <v>429.52183908045976</v>
      </c>
      <c r="AC74" s="8">
        <f t="shared" si="23"/>
        <v>0.42952183908045977</v>
      </c>
      <c r="AD74" s="6">
        <v>6.89</v>
      </c>
      <c r="AE74" s="6">
        <f t="shared" si="24"/>
        <v>7.1830229885057468</v>
      </c>
      <c r="AF74" s="5">
        <v>3.5799999999999998E-3</v>
      </c>
      <c r="AG74" s="7">
        <f t="shared" si="25"/>
        <v>7.4645057471264362</v>
      </c>
      <c r="AH74" s="18">
        <f t="shared" si="26"/>
        <v>1.7378640776699039E-2</v>
      </c>
      <c r="AI74" s="2"/>
      <c r="AJ74" s="2"/>
      <c r="AK74" s="2"/>
      <c r="AL74" s="2"/>
    </row>
    <row r="75" spans="1:38" x14ac:dyDescent="0.3">
      <c r="A75" s="2">
        <v>15</v>
      </c>
      <c r="B75" s="2">
        <v>4</v>
      </c>
      <c r="C75" s="3">
        <v>74</v>
      </c>
      <c r="D75" s="2">
        <v>3</v>
      </c>
      <c r="E75" s="3" t="s">
        <v>96</v>
      </c>
      <c r="F75" s="2" t="s">
        <v>97</v>
      </c>
      <c r="G75" s="4">
        <v>45637</v>
      </c>
      <c r="H75" s="2">
        <v>-48.097255500000003</v>
      </c>
      <c r="I75" s="2">
        <v>-22.565214699999999</v>
      </c>
      <c r="J75" s="10" t="s">
        <v>41</v>
      </c>
      <c r="K75" s="4">
        <v>45683</v>
      </c>
      <c r="L75" s="2">
        <f t="shared" si="18"/>
        <v>46</v>
      </c>
      <c r="M75" s="2">
        <v>47</v>
      </c>
      <c r="N75" s="4">
        <v>45726</v>
      </c>
      <c r="O75" s="4">
        <v>45737</v>
      </c>
      <c r="P75" s="2">
        <f t="shared" si="19"/>
        <v>11</v>
      </c>
      <c r="Q75" s="2">
        <v>78</v>
      </c>
      <c r="R75" s="20" t="s">
        <v>53</v>
      </c>
      <c r="S75" s="20" t="s">
        <v>38</v>
      </c>
      <c r="T75" s="2">
        <v>1</v>
      </c>
      <c r="U75" s="4">
        <v>45753</v>
      </c>
      <c r="V75" s="2">
        <f t="shared" si="20"/>
        <v>116</v>
      </c>
      <c r="W75" s="2">
        <v>4</v>
      </c>
      <c r="X75" s="2">
        <v>2</v>
      </c>
      <c r="Y75" s="6">
        <v>8.6999999999999993</v>
      </c>
      <c r="Z75" s="5">
        <v>0.59399999999999997</v>
      </c>
      <c r="AA75" s="7">
        <f t="shared" si="21"/>
        <v>0.6233586206896552</v>
      </c>
      <c r="AB75" s="7">
        <f t="shared" si="22"/>
        <v>1246.7172413793103</v>
      </c>
      <c r="AC75" s="8">
        <f t="shared" si="23"/>
        <v>1.2467172413793102</v>
      </c>
      <c r="AD75" s="6">
        <v>11.85</v>
      </c>
      <c r="AE75" s="6">
        <f t="shared" si="24"/>
        <v>12.435689655172414</v>
      </c>
      <c r="AF75" s="5">
        <v>0.34399999999999997</v>
      </c>
      <c r="AG75" s="7">
        <f t="shared" si="25"/>
        <v>722.00459770114935</v>
      </c>
      <c r="AH75" s="18">
        <f t="shared" si="26"/>
        <v>0.57912457912457915</v>
      </c>
      <c r="AI75" s="2"/>
      <c r="AJ75" s="2"/>
      <c r="AK75" s="2"/>
      <c r="AL75" s="2"/>
    </row>
    <row r="76" spans="1:38" x14ac:dyDescent="0.3">
      <c r="A76" s="2">
        <v>15</v>
      </c>
      <c r="B76" s="2">
        <v>5</v>
      </c>
      <c r="C76" s="3">
        <v>75</v>
      </c>
      <c r="D76" s="2">
        <v>3</v>
      </c>
      <c r="E76" s="3" t="s">
        <v>58</v>
      </c>
      <c r="F76" s="2" t="s">
        <v>59</v>
      </c>
      <c r="G76" s="4">
        <v>45637</v>
      </c>
      <c r="H76" s="2">
        <v>-48.097255500000003</v>
      </c>
      <c r="I76" s="2">
        <v>-22.565214699999999</v>
      </c>
      <c r="J76" s="2" t="s">
        <v>33</v>
      </c>
      <c r="K76" s="4">
        <v>45691</v>
      </c>
      <c r="L76" s="2">
        <f t="shared" si="18"/>
        <v>54</v>
      </c>
      <c r="M76" s="2">
        <v>58</v>
      </c>
      <c r="N76" s="4">
        <v>45728</v>
      </c>
      <c r="O76" s="4">
        <v>45743</v>
      </c>
      <c r="P76" s="2">
        <f t="shared" si="19"/>
        <v>15</v>
      </c>
      <c r="Q76" s="2">
        <v>79</v>
      </c>
      <c r="R76" s="23" t="s">
        <v>72</v>
      </c>
      <c r="S76" s="22" t="s">
        <v>35</v>
      </c>
      <c r="T76" s="2">
        <v>1</v>
      </c>
      <c r="U76" s="4">
        <v>45759</v>
      </c>
      <c r="V76" s="2">
        <f t="shared" si="20"/>
        <v>122</v>
      </c>
      <c r="W76" s="2">
        <v>4</v>
      </c>
      <c r="X76" s="2">
        <v>4</v>
      </c>
      <c r="Y76" s="6">
        <v>9.6</v>
      </c>
      <c r="Z76" s="5">
        <v>0.52400000000000002</v>
      </c>
      <c r="AA76" s="7">
        <f t="shared" si="21"/>
        <v>0.54447816091954038</v>
      </c>
      <c r="AB76" s="7">
        <f t="shared" si="22"/>
        <v>1088.9563218390808</v>
      </c>
      <c r="AC76" s="8">
        <f t="shared" si="23"/>
        <v>1.0889563218390808</v>
      </c>
      <c r="AD76" s="6">
        <v>8.92</v>
      </c>
      <c r="AE76" s="6">
        <f t="shared" si="24"/>
        <v>9.2685977011494263</v>
      </c>
      <c r="AF76" s="5">
        <v>4.9799999999999997E-2</v>
      </c>
      <c r="AG76" s="7">
        <f t="shared" si="25"/>
        <v>103.49241379310345</v>
      </c>
      <c r="AH76" s="18">
        <f t="shared" si="26"/>
        <v>9.5038167938931273E-2</v>
      </c>
      <c r="AI76" s="2"/>
      <c r="AJ76" s="2"/>
      <c r="AK76" s="2"/>
      <c r="AL76" s="2" t="s">
        <v>43</v>
      </c>
    </row>
    <row r="77" spans="1:38" x14ac:dyDescent="0.3">
      <c r="A77" s="2">
        <v>16</v>
      </c>
      <c r="B77" s="2">
        <v>5</v>
      </c>
      <c r="C77" s="3">
        <v>76</v>
      </c>
      <c r="D77" s="2">
        <v>3</v>
      </c>
      <c r="E77" s="3" t="s">
        <v>44</v>
      </c>
      <c r="F77" s="2" t="s">
        <v>45</v>
      </c>
      <c r="G77" s="4">
        <v>45637</v>
      </c>
      <c r="H77" s="2">
        <v>-48.018796600000002</v>
      </c>
      <c r="I77" s="2">
        <v>-22.846822599999999</v>
      </c>
      <c r="J77" s="2" t="s">
        <v>33</v>
      </c>
      <c r="K77" s="4">
        <v>45690</v>
      </c>
      <c r="L77" s="2">
        <f t="shared" si="18"/>
        <v>53</v>
      </c>
      <c r="M77" s="2">
        <v>63</v>
      </c>
      <c r="N77" s="4">
        <v>45733</v>
      </c>
      <c r="O77" s="4">
        <v>45743</v>
      </c>
      <c r="P77" s="2">
        <f t="shared" si="19"/>
        <v>10</v>
      </c>
      <c r="Q77" s="2">
        <v>74</v>
      </c>
      <c r="R77" s="23" t="s">
        <v>72</v>
      </c>
      <c r="S77" s="22" t="s">
        <v>35</v>
      </c>
      <c r="T77" s="2">
        <v>1</v>
      </c>
      <c r="U77" s="4">
        <v>45772</v>
      </c>
      <c r="V77" s="2">
        <f t="shared" si="20"/>
        <v>135</v>
      </c>
      <c r="W77" s="2">
        <v>3</v>
      </c>
      <c r="X77" s="2">
        <v>5</v>
      </c>
      <c r="Y77" s="6">
        <v>7.9</v>
      </c>
      <c r="Z77" s="5">
        <v>0.15</v>
      </c>
      <c r="AA77" s="7">
        <f t="shared" si="21"/>
        <v>0.15879310344827585</v>
      </c>
      <c r="AB77" s="7">
        <f t="shared" si="22"/>
        <v>317.58620689655169</v>
      </c>
      <c r="AC77" s="8">
        <f t="shared" si="23"/>
        <v>0.3175862068965517</v>
      </c>
      <c r="AD77" s="6">
        <v>7.22</v>
      </c>
      <c r="AE77" s="6">
        <f t="shared" si="24"/>
        <v>7.6432413793103446</v>
      </c>
      <c r="AF77" s="5">
        <v>1E-3</v>
      </c>
      <c r="AG77" s="7">
        <f t="shared" si="25"/>
        <v>2.1172413793103453</v>
      </c>
      <c r="AH77" s="18">
        <f t="shared" si="26"/>
        <v>6.6666666666667096E-3</v>
      </c>
      <c r="AI77" s="2"/>
      <c r="AJ77" s="2"/>
      <c r="AK77" s="2"/>
      <c r="AL77" s="2"/>
    </row>
    <row r="78" spans="1:38" x14ac:dyDescent="0.3">
      <c r="A78" s="2">
        <v>16</v>
      </c>
      <c r="B78" s="2">
        <v>4</v>
      </c>
      <c r="C78" s="3">
        <v>77</v>
      </c>
      <c r="D78" s="2">
        <v>3</v>
      </c>
      <c r="E78" s="3" t="s">
        <v>51</v>
      </c>
      <c r="F78" s="2" t="s">
        <v>52</v>
      </c>
      <c r="G78" s="4">
        <v>45637</v>
      </c>
      <c r="H78" s="2">
        <v>-48.099426800000003</v>
      </c>
      <c r="I78" s="2">
        <v>-22.829424899999999</v>
      </c>
      <c r="J78" s="10" t="s">
        <v>41</v>
      </c>
      <c r="K78" s="4">
        <v>45689</v>
      </c>
      <c r="L78" s="2">
        <f t="shared" si="18"/>
        <v>52</v>
      </c>
      <c r="M78" s="2">
        <v>57</v>
      </c>
      <c r="N78" s="4">
        <v>45731</v>
      </c>
      <c r="O78" s="4">
        <v>45739</v>
      </c>
      <c r="P78" s="2">
        <f t="shared" si="19"/>
        <v>8</v>
      </c>
      <c r="Q78" s="2">
        <v>66</v>
      </c>
      <c r="R78" s="21" t="s">
        <v>34</v>
      </c>
      <c r="S78" s="23" t="s">
        <v>49</v>
      </c>
      <c r="T78" s="2">
        <v>1</v>
      </c>
      <c r="U78" s="4">
        <v>45753</v>
      </c>
      <c r="V78" s="2">
        <f t="shared" si="20"/>
        <v>116</v>
      </c>
      <c r="W78" s="2">
        <v>4</v>
      </c>
      <c r="X78" s="2">
        <v>3</v>
      </c>
      <c r="Y78" s="6">
        <v>9.6</v>
      </c>
      <c r="Z78" s="5">
        <v>0.34200000000000003</v>
      </c>
      <c r="AA78" s="7">
        <f t="shared" si="21"/>
        <v>0.35536551724137938</v>
      </c>
      <c r="AB78" s="7">
        <f t="shared" si="22"/>
        <v>710.73103448275879</v>
      </c>
      <c r="AC78" s="8">
        <f t="shared" si="23"/>
        <v>0.71073103448275876</v>
      </c>
      <c r="AD78" s="6">
        <v>8.9</v>
      </c>
      <c r="AE78" s="6">
        <f t="shared" si="24"/>
        <v>9.2478160919540251</v>
      </c>
      <c r="AF78" s="5">
        <v>8.5999999999999993E-2</v>
      </c>
      <c r="AG78" s="7">
        <f t="shared" si="25"/>
        <v>178.72183908045977</v>
      </c>
      <c r="AH78" s="18">
        <f t="shared" si="26"/>
        <v>0.2514619883040935</v>
      </c>
      <c r="AI78" s="2"/>
      <c r="AJ78" s="2"/>
      <c r="AK78" s="2"/>
      <c r="AL78" s="2"/>
    </row>
    <row r="79" spans="1:38" x14ac:dyDescent="0.3">
      <c r="A79" s="2">
        <v>16</v>
      </c>
      <c r="B79" s="2">
        <v>3</v>
      </c>
      <c r="C79" s="3">
        <v>78</v>
      </c>
      <c r="D79" s="2">
        <v>3</v>
      </c>
      <c r="E79" s="3" t="s">
        <v>110</v>
      </c>
      <c r="F79" s="2" t="s">
        <v>32</v>
      </c>
      <c r="G79" s="4">
        <v>45637</v>
      </c>
      <c r="H79" s="2">
        <v>-48.128283199999998</v>
      </c>
      <c r="I79" s="2">
        <v>-22.791766800000001</v>
      </c>
      <c r="J79" s="10" t="s">
        <v>41</v>
      </c>
      <c r="K79" s="4">
        <v>45682</v>
      </c>
      <c r="L79" s="2">
        <f t="shared" si="18"/>
        <v>45</v>
      </c>
      <c r="M79" s="2">
        <v>33</v>
      </c>
      <c r="N79" s="4">
        <v>45734</v>
      </c>
      <c r="O79" s="4">
        <v>45741</v>
      </c>
      <c r="P79" s="2">
        <f t="shared" si="19"/>
        <v>7</v>
      </c>
      <c r="Q79" s="2">
        <v>90</v>
      </c>
      <c r="R79" s="21" t="s">
        <v>34</v>
      </c>
      <c r="S79" s="23" t="s">
        <v>49</v>
      </c>
      <c r="T79" s="2">
        <v>4</v>
      </c>
      <c r="U79" s="4">
        <v>45773</v>
      </c>
      <c r="V79" s="2">
        <f t="shared" si="20"/>
        <v>136</v>
      </c>
      <c r="W79" s="2">
        <v>2</v>
      </c>
      <c r="X79" s="2">
        <v>4</v>
      </c>
      <c r="Y79" s="6">
        <v>10.199999999999999</v>
      </c>
      <c r="Z79" s="5">
        <v>0.20799999999999999</v>
      </c>
      <c r="AA79" s="7">
        <f t="shared" si="21"/>
        <v>0.2146942528735632</v>
      </c>
      <c r="AB79" s="7">
        <f t="shared" si="22"/>
        <v>429.38850574712637</v>
      </c>
      <c r="AC79" s="8">
        <f t="shared" si="23"/>
        <v>0.42938850574712639</v>
      </c>
      <c r="AD79" s="6">
        <v>9.33</v>
      </c>
      <c r="AE79" s="6">
        <f t="shared" si="24"/>
        <v>9.6302758620689648</v>
      </c>
      <c r="AF79" s="5">
        <v>1.136E-2</v>
      </c>
      <c r="AG79" s="7">
        <f t="shared" si="25"/>
        <v>23.451218390804595</v>
      </c>
      <c r="AH79" s="18">
        <f t="shared" si="26"/>
        <v>5.461538461538451E-2</v>
      </c>
      <c r="AI79" s="2"/>
      <c r="AJ79" s="2"/>
      <c r="AK79" s="2"/>
      <c r="AL79" s="2"/>
    </row>
    <row r="80" spans="1:38" x14ac:dyDescent="0.3">
      <c r="A80" s="2">
        <v>16</v>
      </c>
      <c r="B80" s="2">
        <v>2</v>
      </c>
      <c r="C80" s="3">
        <v>79</v>
      </c>
      <c r="D80" s="2">
        <v>3</v>
      </c>
      <c r="E80" s="3" t="s">
        <v>70</v>
      </c>
      <c r="F80" s="2" t="s">
        <v>71</v>
      </c>
      <c r="G80" s="4">
        <v>45637</v>
      </c>
      <c r="H80" s="2">
        <v>-47.9671339</v>
      </c>
      <c r="I80" s="2">
        <v>-22.777845599999999</v>
      </c>
      <c r="J80" s="2" t="s">
        <v>33</v>
      </c>
      <c r="K80" s="4">
        <v>45683</v>
      </c>
      <c r="L80" s="2">
        <f t="shared" si="18"/>
        <v>46</v>
      </c>
      <c r="M80" s="2">
        <v>51</v>
      </c>
      <c r="N80" s="4">
        <v>45730</v>
      </c>
      <c r="O80" s="4">
        <v>45741</v>
      </c>
      <c r="P80" s="2">
        <f t="shared" si="19"/>
        <v>11</v>
      </c>
      <c r="Q80" s="2">
        <v>80</v>
      </c>
      <c r="R80" s="20" t="s">
        <v>53</v>
      </c>
      <c r="S80" s="20" t="s">
        <v>38</v>
      </c>
      <c r="T80" s="2">
        <v>1</v>
      </c>
      <c r="U80" s="4">
        <v>45761</v>
      </c>
      <c r="V80" s="2">
        <f t="shared" si="20"/>
        <v>124</v>
      </c>
      <c r="W80" s="2">
        <v>3</v>
      </c>
      <c r="X80" s="2">
        <v>5</v>
      </c>
      <c r="Y80" s="6">
        <v>10.199999999999999</v>
      </c>
      <c r="Z80" s="5">
        <v>0.40400000000000003</v>
      </c>
      <c r="AA80" s="7">
        <f t="shared" si="21"/>
        <v>0.41700229885057472</v>
      </c>
      <c r="AB80" s="7">
        <f t="shared" si="22"/>
        <v>834.00459770114935</v>
      </c>
      <c r="AC80" s="8">
        <f t="shared" si="23"/>
        <v>0.83400459770114932</v>
      </c>
      <c r="AD80" s="6">
        <v>11.72</v>
      </c>
      <c r="AE80" s="6">
        <f t="shared" si="24"/>
        <v>12.097195402298849</v>
      </c>
      <c r="AF80" s="5">
        <v>6.8260000000000001E-2</v>
      </c>
      <c r="AG80" s="7">
        <f t="shared" si="25"/>
        <v>140.91374712643679</v>
      </c>
      <c r="AH80" s="18">
        <f t="shared" si="26"/>
        <v>0.168960396039604</v>
      </c>
      <c r="AI80" s="2"/>
      <c r="AJ80" s="2"/>
      <c r="AK80" s="2"/>
      <c r="AL80" s="2"/>
    </row>
    <row r="81" spans="1:38" x14ac:dyDescent="0.3">
      <c r="A81" s="2">
        <v>16</v>
      </c>
      <c r="B81" s="2">
        <v>1</v>
      </c>
      <c r="C81" s="3">
        <v>80</v>
      </c>
      <c r="D81" s="2">
        <v>3</v>
      </c>
      <c r="E81" s="3" t="s">
        <v>86</v>
      </c>
      <c r="F81" s="2" t="s">
        <v>87</v>
      </c>
      <c r="G81" s="4">
        <v>45637</v>
      </c>
      <c r="H81" s="2">
        <v>-48.128903899999997</v>
      </c>
      <c r="I81" s="2">
        <v>-22.792570900000001</v>
      </c>
      <c r="J81" s="2" t="s">
        <v>33</v>
      </c>
      <c r="K81" s="4">
        <v>45693</v>
      </c>
      <c r="L81" s="2">
        <f t="shared" si="18"/>
        <v>56</v>
      </c>
      <c r="M81" s="2">
        <v>49</v>
      </c>
      <c r="N81" s="4">
        <v>45729</v>
      </c>
      <c r="O81" s="4">
        <v>45739</v>
      </c>
      <c r="P81" s="2">
        <f t="shared" si="19"/>
        <v>10</v>
      </c>
      <c r="Q81" s="2">
        <v>68</v>
      </c>
      <c r="R81" s="23" t="s">
        <v>72</v>
      </c>
      <c r="S81" s="22" t="s">
        <v>35</v>
      </c>
      <c r="T81" s="2">
        <v>4</v>
      </c>
      <c r="U81" s="4">
        <v>45758</v>
      </c>
      <c r="V81" s="2">
        <f t="shared" si="20"/>
        <v>121</v>
      </c>
      <c r="W81" s="2">
        <v>2</v>
      </c>
      <c r="X81" s="2">
        <v>2</v>
      </c>
      <c r="Y81" s="6">
        <v>8.1</v>
      </c>
      <c r="Z81" s="5">
        <v>0.308</v>
      </c>
      <c r="AA81" s="7">
        <f t="shared" si="21"/>
        <v>0.32534712643678165</v>
      </c>
      <c r="AB81" s="7">
        <f t="shared" si="22"/>
        <v>650.6942528735633</v>
      </c>
      <c r="AC81" s="8">
        <f t="shared" si="23"/>
        <v>0.65069425287356331</v>
      </c>
      <c r="AD81" s="6">
        <v>6.46</v>
      </c>
      <c r="AE81" s="6">
        <f t="shared" si="24"/>
        <v>6.8238390804597708</v>
      </c>
      <c r="AF81" s="5">
        <v>6.3E-2</v>
      </c>
      <c r="AG81" s="7">
        <f t="shared" si="25"/>
        <v>133.09655172413795</v>
      </c>
      <c r="AH81" s="18">
        <f t="shared" si="26"/>
        <v>0.20454545454545459</v>
      </c>
      <c r="AI81" s="2"/>
      <c r="AJ81" s="2"/>
      <c r="AK81" s="2"/>
      <c r="AL81" s="2"/>
    </row>
    <row r="82" spans="1:38" x14ac:dyDescent="0.3">
      <c r="A82" s="2">
        <v>17</v>
      </c>
      <c r="B82" s="2">
        <v>1</v>
      </c>
      <c r="C82" s="3">
        <v>81</v>
      </c>
      <c r="D82" s="2">
        <v>3</v>
      </c>
      <c r="E82" s="3" t="s">
        <v>91</v>
      </c>
      <c r="F82" s="2" t="s">
        <v>92</v>
      </c>
      <c r="G82" s="4">
        <v>45637</v>
      </c>
      <c r="H82" s="2">
        <v>-48.1233176</v>
      </c>
      <c r="I82" s="2">
        <v>-22.784426799999999</v>
      </c>
      <c r="J82" s="2" t="s">
        <v>33</v>
      </c>
      <c r="K82" s="4">
        <v>45690</v>
      </c>
      <c r="L82" s="2">
        <f t="shared" si="18"/>
        <v>53</v>
      </c>
      <c r="M82" s="2">
        <v>70</v>
      </c>
      <c r="N82" s="4">
        <v>45732</v>
      </c>
      <c r="O82" s="4">
        <v>45739</v>
      </c>
      <c r="P82" s="2">
        <f t="shared" si="19"/>
        <v>7</v>
      </c>
      <c r="Q82" s="2">
        <v>82</v>
      </c>
      <c r="R82" s="21" t="s">
        <v>34</v>
      </c>
      <c r="S82" s="21" t="s">
        <v>42</v>
      </c>
      <c r="T82" s="2">
        <v>2</v>
      </c>
      <c r="U82" s="4">
        <v>45770</v>
      </c>
      <c r="V82" s="2">
        <f t="shared" si="20"/>
        <v>133</v>
      </c>
      <c r="W82" s="2">
        <v>2</v>
      </c>
      <c r="X82" s="2">
        <v>3</v>
      </c>
      <c r="Y82" s="6">
        <v>9.6999999999999993</v>
      </c>
      <c r="Z82" s="5">
        <v>0.54800000000000004</v>
      </c>
      <c r="AA82" s="7">
        <f t="shared" si="21"/>
        <v>0.56878620689655179</v>
      </c>
      <c r="AB82" s="7">
        <f t="shared" si="22"/>
        <v>1137.5724137931036</v>
      </c>
      <c r="AC82" s="8">
        <f t="shared" si="23"/>
        <v>1.1375724137931036</v>
      </c>
      <c r="AD82" s="6">
        <v>7.73</v>
      </c>
      <c r="AE82" s="6">
        <f t="shared" si="24"/>
        <v>8.0232068965517236</v>
      </c>
      <c r="AF82" s="5">
        <v>7.4999999999999997E-2</v>
      </c>
      <c r="AG82" s="7">
        <f t="shared" si="25"/>
        <v>155.68965517241378</v>
      </c>
      <c r="AH82" s="18">
        <f t="shared" si="26"/>
        <v>0.13686131386861311</v>
      </c>
      <c r="AI82" s="2"/>
      <c r="AJ82" s="2"/>
      <c r="AK82" s="2"/>
      <c r="AL82" s="2"/>
    </row>
    <row r="83" spans="1:38" x14ac:dyDescent="0.3">
      <c r="A83" s="2">
        <v>17</v>
      </c>
      <c r="B83" s="2">
        <v>2</v>
      </c>
      <c r="C83" s="3">
        <v>82</v>
      </c>
      <c r="D83" s="2">
        <v>3</v>
      </c>
      <c r="E83" s="3" t="s">
        <v>104</v>
      </c>
      <c r="F83" s="2" t="s">
        <v>105</v>
      </c>
      <c r="G83" s="4">
        <v>45637</v>
      </c>
      <c r="H83" s="2">
        <v>-48.142561899999997</v>
      </c>
      <c r="I83" s="2">
        <v>-22.8178296</v>
      </c>
      <c r="J83" s="2" t="s">
        <v>33</v>
      </c>
      <c r="K83" s="4">
        <v>45690</v>
      </c>
      <c r="L83" s="2">
        <f t="shared" si="18"/>
        <v>53</v>
      </c>
      <c r="M83" s="2">
        <v>57</v>
      </c>
      <c r="N83" s="4">
        <v>45730</v>
      </c>
      <c r="O83" s="4">
        <v>45739</v>
      </c>
      <c r="P83" s="2">
        <f t="shared" si="19"/>
        <v>9</v>
      </c>
      <c r="Q83" s="2">
        <v>78</v>
      </c>
      <c r="R83" s="21" t="s">
        <v>34</v>
      </c>
      <c r="S83" s="23" t="s">
        <v>49</v>
      </c>
      <c r="T83" s="2">
        <v>4</v>
      </c>
      <c r="U83" s="4">
        <v>45758</v>
      </c>
      <c r="V83" s="2">
        <f t="shared" si="20"/>
        <v>121</v>
      </c>
      <c r="W83" s="2">
        <v>3</v>
      </c>
      <c r="X83" s="2">
        <v>1</v>
      </c>
      <c r="Y83" s="6">
        <v>9.5</v>
      </c>
      <c r="Z83" s="5">
        <v>0.46800000000000003</v>
      </c>
      <c r="AA83" s="7">
        <f t="shared" si="21"/>
        <v>0.48682758620689653</v>
      </c>
      <c r="AB83" s="7">
        <f t="shared" si="22"/>
        <v>973.65517241379303</v>
      </c>
      <c r="AC83" s="8">
        <f t="shared" si="23"/>
        <v>0.97365517241379307</v>
      </c>
      <c r="AD83" s="6">
        <v>7.38</v>
      </c>
      <c r="AE83" s="6">
        <f t="shared" si="24"/>
        <v>7.6768965517241368</v>
      </c>
      <c r="AF83" s="5">
        <v>0.14899999999999999</v>
      </c>
      <c r="AG83" s="7">
        <f t="shared" si="25"/>
        <v>309.9885057471264</v>
      </c>
      <c r="AH83" s="18">
        <f t="shared" si="26"/>
        <v>0.31837606837606836</v>
      </c>
      <c r="AI83" s="2"/>
      <c r="AJ83" s="2"/>
      <c r="AK83" s="2"/>
      <c r="AL83" s="2"/>
    </row>
    <row r="84" spans="1:38" x14ac:dyDescent="0.3">
      <c r="A84" s="2">
        <v>17</v>
      </c>
      <c r="B84" s="2">
        <v>3</v>
      </c>
      <c r="C84" s="3">
        <v>83</v>
      </c>
      <c r="D84" s="2">
        <v>3</v>
      </c>
      <c r="E84" s="3" t="s">
        <v>102</v>
      </c>
      <c r="F84" s="2" t="s">
        <v>103</v>
      </c>
      <c r="G84" s="4">
        <v>45637</v>
      </c>
      <c r="H84" s="2">
        <v>-47.9671339</v>
      </c>
      <c r="I84" s="2">
        <v>-22.777845599999999</v>
      </c>
      <c r="J84" s="10" t="s">
        <v>41</v>
      </c>
      <c r="K84" s="4">
        <v>45681</v>
      </c>
      <c r="L84" s="2">
        <f t="shared" si="18"/>
        <v>44</v>
      </c>
      <c r="M84" s="2">
        <v>43</v>
      </c>
      <c r="N84" s="4">
        <v>45730</v>
      </c>
      <c r="O84" s="4">
        <v>45738</v>
      </c>
      <c r="P84" s="2">
        <f t="shared" si="19"/>
        <v>8</v>
      </c>
      <c r="Q84" s="2">
        <v>70</v>
      </c>
      <c r="R84" s="20" t="s">
        <v>53</v>
      </c>
      <c r="S84" s="20" t="s">
        <v>38</v>
      </c>
      <c r="T84" s="2">
        <v>1</v>
      </c>
      <c r="U84" s="4">
        <v>45754</v>
      </c>
      <c r="V84" s="2">
        <f t="shared" si="20"/>
        <v>117</v>
      </c>
      <c r="W84" s="2">
        <v>4</v>
      </c>
      <c r="X84" s="2">
        <v>3</v>
      </c>
      <c r="Y84" s="6">
        <v>10.3</v>
      </c>
      <c r="Z84" s="5">
        <v>0.72199999999999998</v>
      </c>
      <c r="AA84" s="7">
        <f t="shared" si="21"/>
        <v>0.7444068965517241</v>
      </c>
      <c r="AB84" s="7">
        <f t="shared" si="22"/>
        <v>1488.8137931034482</v>
      </c>
      <c r="AC84" s="8">
        <f t="shared" si="23"/>
        <v>1.4888137931034482</v>
      </c>
      <c r="AD84" s="6">
        <v>12.77</v>
      </c>
      <c r="AE84" s="6">
        <f t="shared" si="24"/>
        <v>13.166310344827584</v>
      </c>
      <c r="AF84" s="5">
        <v>0.439</v>
      </c>
      <c r="AG84" s="7">
        <f t="shared" si="25"/>
        <v>905.24827586206891</v>
      </c>
      <c r="AH84" s="18">
        <f t="shared" si="26"/>
        <v>0.60803324099722988</v>
      </c>
      <c r="AI84" s="2"/>
      <c r="AJ84" s="2"/>
      <c r="AK84" s="2"/>
      <c r="AL84" s="2"/>
    </row>
    <row r="85" spans="1:38" x14ac:dyDescent="0.3">
      <c r="A85" s="2">
        <v>17</v>
      </c>
      <c r="B85" s="2">
        <v>4</v>
      </c>
      <c r="C85" s="3">
        <v>84</v>
      </c>
      <c r="D85" s="2">
        <v>3</v>
      </c>
      <c r="E85" s="3" t="s">
        <v>81</v>
      </c>
      <c r="F85" s="2" t="s">
        <v>82</v>
      </c>
      <c r="G85" s="4">
        <v>45637</v>
      </c>
      <c r="H85" s="2">
        <v>-48.018796600000002</v>
      </c>
      <c r="I85" s="2">
        <v>-22.846822599999999</v>
      </c>
      <c r="J85" s="2" t="s">
        <v>33</v>
      </c>
      <c r="K85" s="4">
        <v>45682</v>
      </c>
      <c r="L85" s="2">
        <f t="shared" si="18"/>
        <v>45</v>
      </c>
      <c r="M85" s="2">
        <v>37</v>
      </c>
      <c r="N85" s="4">
        <v>45725</v>
      </c>
      <c r="O85" s="4">
        <v>45734</v>
      </c>
      <c r="P85" s="2">
        <f t="shared" si="19"/>
        <v>9</v>
      </c>
      <c r="Q85" s="2">
        <v>71</v>
      </c>
      <c r="R85" s="20" t="s">
        <v>53</v>
      </c>
      <c r="S85" s="20" t="s">
        <v>38</v>
      </c>
      <c r="T85" s="2">
        <v>1</v>
      </c>
      <c r="U85" s="4">
        <v>45750</v>
      </c>
      <c r="V85" s="2">
        <f t="shared" si="20"/>
        <v>113</v>
      </c>
      <c r="W85" s="2">
        <v>5</v>
      </c>
      <c r="X85" s="2">
        <v>2</v>
      </c>
      <c r="Y85" s="6">
        <v>9.9</v>
      </c>
      <c r="Z85" s="5">
        <v>0.68600000000000005</v>
      </c>
      <c r="AA85" s="7">
        <f t="shared" si="21"/>
        <v>0.71044367816091958</v>
      </c>
      <c r="AB85" s="7">
        <f t="shared" si="22"/>
        <v>1420.8873563218392</v>
      </c>
      <c r="AC85" s="8">
        <f t="shared" si="23"/>
        <v>1.4208873563218392</v>
      </c>
      <c r="AD85" s="6">
        <v>11.88</v>
      </c>
      <c r="AE85" s="6">
        <f t="shared" si="24"/>
        <v>12.303310344827587</v>
      </c>
      <c r="AF85" s="5">
        <v>0.42599999999999999</v>
      </c>
      <c r="AG85" s="7">
        <f t="shared" si="25"/>
        <v>882.35862068965525</v>
      </c>
      <c r="AH85" s="18">
        <f t="shared" si="26"/>
        <v>0.62099125364431484</v>
      </c>
      <c r="AI85" s="2"/>
      <c r="AJ85" s="2"/>
      <c r="AK85" s="2"/>
      <c r="AL85" s="2"/>
    </row>
    <row r="86" spans="1:38" x14ac:dyDescent="0.3">
      <c r="A86" s="2">
        <v>17</v>
      </c>
      <c r="B86" s="2">
        <v>5</v>
      </c>
      <c r="C86" s="3">
        <v>85</v>
      </c>
      <c r="D86" s="2">
        <v>3</v>
      </c>
      <c r="E86" s="3" t="s">
        <v>54</v>
      </c>
      <c r="F86" s="2" t="s">
        <v>55</v>
      </c>
      <c r="G86" s="4">
        <v>45637</v>
      </c>
      <c r="H86" s="2">
        <v>-47.9671339</v>
      </c>
      <c r="I86" s="2">
        <v>-22.777845599999999</v>
      </c>
      <c r="J86" s="2" t="s">
        <v>33</v>
      </c>
      <c r="K86" s="4">
        <v>45688</v>
      </c>
      <c r="L86" s="2">
        <f t="shared" si="18"/>
        <v>51</v>
      </c>
      <c r="M86" s="2">
        <v>59</v>
      </c>
      <c r="N86" s="4">
        <v>45731</v>
      </c>
      <c r="O86" s="4">
        <v>45740</v>
      </c>
      <c r="P86" s="2">
        <f t="shared" si="19"/>
        <v>9</v>
      </c>
      <c r="Q86" s="2">
        <v>72</v>
      </c>
      <c r="R86" s="20" t="s">
        <v>53</v>
      </c>
      <c r="S86" s="2"/>
      <c r="T86" s="2">
        <v>1</v>
      </c>
      <c r="U86" s="4">
        <v>45759</v>
      </c>
      <c r="V86" s="2">
        <f t="shared" si="20"/>
        <v>122</v>
      </c>
      <c r="W86" s="2">
        <v>3</v>
      </c>
      <c r="X86" s="2">
        <v>3</v>
      </c>
      <c r="Y86" s="6">
        <v>11</v>
      </c>
      <c r="Z86" s="5">
        <v>0.318</v>
      </c>
      <c r="AA86" s="7">
        <f t="shared" si="21"/>
        <v>0.3253103448275862</v>
      </c>
      <c r="AB86" s="7">
        <f t="shared" si="22"/>
        <v>650.62068965517233</v>
      </c>
      <c r="AC86" s="8">
        <f t="shared" si="23"/>
        <v>0.65062068965517228</v>
      </c>
      <c r="AD86" s="6">
        <v>8.1199999999999992</v>
      </c>
      <c r="AE86" s="6">
        <f t="shared" si="24"/>
        <v>8.3066666666666649</v>
      </c>
      <c r="AF86" s="5">
        <v>4.4999999999999998E-2</v>
      </c>
      <c r="AG86" s="7">
        <f t="shared" si="25"/>
        <v>92.068965517241381</v>
      </c>
      <c r="AH86" s="18">
        <f t="shared" si="26"/>
        <v>0.14150943396226423</v>
      </c>
      <c r="AI86" s="2"/>
      <c r="AJ86" s="2"/>
      <c r="AK86" s="2"/>
      <c r="AL86" s="2" t="s">
        <v>117</v>
      </c>
    </row>
    <row r="87" spans="1:38" x14ac:dyDescent="0.3">
      <c r="A87" s="2">
        <v>18</v>
      </c>
      <c r="B87" s="2">
        <v>5</v>
      </c>
      <c r="C87" s="3">
        <v>86</v>
      </c>
      <c r="D87" s="2">
        <v>3</v>
      </c>
      <c r="E87" s="3" t="s">
        <v>94</v>
      </c>
      <c r="F87" s="2" t="s">
        <v>95</v>
      </c>
      <c r="G87" s="4">
        <v>45637</v>
      </c>
      <c r="H87" s="2">
        <v>-48.099426800000003</v>
      </c>
      <c r="I87" s="2">
        <v>-22.829424899999999</v>
      </c>
      <c r="J87" s="10" t="s">
        <v>41</v>
      </c>
      <c r="K87" s="4">
        <v>45681</v>
      </c>
      <c r="L87" s="2">
        <f t="shared" si="18"/>
        <v>44</v>
      </c>
      <c r="M87" s="2">
        <v>43</v>
      </c>
      <c r="N87" s="4">
        <v>45726</v>
      </c>
      <c r="O87" s="4">
        <v>45737</v>
      </c>
      <c r="P87" s="2">
        <f t="shared" si="19"/>
        <v>11</v>
      </c>
      <c r="Q87" s="2">
        <v>76</v>
      </c>
      <c r="R87" s="23" t="s">
        <v>72</v>
      </c>
      <c r="S87" s="23" t="s">
        <v>49</v>
      </c>
      <c r="T87" s="2">
        <v>1</v>
      </c>
      <c r="U87" s="4">
        <v>45758</v>
      </c>
      <c r="V87" s="2">
        <f t="shared" si="20"/>
        <v>121</v>
      </c>
      <c r="W87" s="2">
        <v>3</v>
      </c>
      <c r="X87" s="2">
        <v>4</v>
      </c>
      <c r="Y87" s="6">
        <v>9.9</v>
      </c>
      <c r="Z87" s="5">
        <v>0.252</v>
      </c>
      <c r="AA87" s="7">
        <f t="shared" si="21"/>
        <v>0.26097931034482758</v>
      </c>
      <c r="AB87" s="7">
        <f t="shared" si="22"/>
        <v>521.95862068965516</v>
      </c>
      <c r="AC87" s="8">
        <f t="shared" si="23"/>
        <v>0.52195862068965515</v>
      </c>
      <c r="AD87" s="6">
        <v>8.94</v>
      </c>
      <c r="AE87" s="6">
        <f t="shared" si="24"/>
        <v>9.2585517241379307</v>
      </c>
      <c r="AF87" s="5">
        <v>8.9999999999999993E-3</v>
      </c>
      <c r="AG87" s="7">
        <f t="shared" si="25"/>
        <v>18.641379310344828</v>
      </c>
      <c r="AH87" s="18">
        <f t="shared" si="26"/>
        <v>3.5714285714285698E-2</v>
      </c>
      <c r="AI87" s="2"/>
      <c r="AJ87" s="2"/>
      <c r="AK87" s="2"/>
      <c r="AL87" s="2" t="s">
        <v>93</v>
      </c>
    </row>
    <row r="88" spans="1:38" x14ac:dyDescent="0.3">
      <c r="A88" s="2">
        <v>18</v>
      </c>
      <c r="B88" s="2">
        <v>4</v>
      </c>
      <c r="C88" s="3">
        <v>87</v>
      </c>
      <c r="D88" s="2">
        <v>3</v>
      </c>
      <c r="E88" s="3" t="s">
        <v>73</v>
      </c>
      <c r="F88" s="2" t="s">
        <v>74</v>
      </c>
      <c r="G88" s="4">
        <v>45637</v>
      </c>
      <c r="H88" s="2">
        <v>-48.069345800000001</v>
      </c>
      <c r="I88" s="2">
        <v>-22.566921700000002</v>
      </c>
      <c r="J88" s="2" t="s">
        <v>33</v>
      </c>
      <c r="K88" s="4">
        <v>45693</v>
      </c>
      <c r="L88" s="2">
        <f t="shared" si="18"/>
        <v>56</v>
      </c>
      <c r="M88" s="2">
        <v>53</v>
      </c>
      <c r="N88" s="4">
        <v>45726</v>
      </c>
      <c r="O88" s="4">
        <v>45736</v>
      </c>
      <c r="P88" s="2">
        <f t="shared" si="19"/>
        <v>10</v>
      </c>
      <c r="Q88" s="2">
        <v>72</v>
      </c>
      <c r="R88" s="23" t="s">
        <v>72</v>
      </c>
      <c r="S88" s="22" t="s">
        <v>35</v>
      </c>
      <c r="T88" s="2">
        <v>1</v>
      </c>
      <c r="U88" s="4">
        <v>45773</v>
      </c>
      <c r="V88" s="2">
        <f t="shared" si="20"/>
        <v>136</v>
      </c>
      <c r="W88" s="2">
        <v>3</v>
      </c>
      <c r="X88" s="2">
        <v>5</v>
      </c>
      <c r="Y88" s="6">
        <v>7.1</v>
      </c>
      <c r="Z88" s="5">
        <v>0.12</v>
      </c>
      <c r="AA88" s="7">
        <f t="shared" si="21"/>
        <v>0.12813793103448279</v>
      </c>
      <c r="AB88" s="7">
        <f t="shared" si="22"/>
        <v>256.27586206896558</v>
      </c>
      <c r="AC88" s="8">
        <f t="shared" si="23"/>
        <v>0.25627586206896558</v>
      </c>
      <c r="AD88" s="6">
        <v>6.15</v>
      </c>
      <c r="AE88" s="6">
        <f t="shared" si="24"/>
        <v>6.567068965517243</v>
      </c>
      <c r="AF88" s="5">
        <v>7.6000000000000004E-4</v>
      </c>
      <c r="AG88" s="7">
        <f t="shared" si="25"/>
        <v>1.6230804597701154</v>
      </c>
      <c r="AH88" s="18">
        <f t="shared" si="26"/>
        <v>6.333333333333302E-3</v>
      </c>
      <c r="AI88" s="2"/>
      <c r="AJ88" s="2"/>
      <c r="AK88" s="2"/>
      <c r="AL88" s="2"/>
    </row>
    <row r="89" spans="1:38" x14ac:dyDescent="0.3">
      <c r="A89" s="2">
        <v>18</v>
      </c>
      <c r="B89" s="2">
        <v>3</v>
      </c>
      <c r="C89" s="3">
        <v>88</v>
      </c>
      <c r="D89" s="2">
        <v>3</v>
      </c>
      <c r="E89" s="3" t="s">
        <v>39</v>
      </c>
      <c r="F89" s="2" t="s">
        <v>40</v>
      </c>
      <c r="G89" s="4">
        <v>45637</v>
      </c>
      <c r="H89" s="2">
        <v>-47.9671339</v>
      </c>
      <c r="I89" s="2">
        <v>-22.777845599999999</v>
      </c>
      <c r="J89" s="10" t="s">
        <v>41</v>
      </c>
      <c r="K89" s="4">
        <v>45693</v>
      </c>
      <c r="L89" s="2">
        <f t="shared" si="18"/>
        <v>56</v>
      </c>
      <c r="M89" s="2">
        <v>71</v>
      </c>
      <c r="N89" s="4">
        <v>45727</v>
      </c>
      <c r="O89" s="4">
        <v>45735</v>
      </c>
      <c r="P89" s="2">
        <f t="shared" si="19"/>
        <v>8</v>
      </c>
      <c r="Q89" s="2">
        <v>90</v>
      </c>
      <c r="R89" s="21" t="s">
        <v>34</v>
      </c>
      <c r="S89" s="23" t="s">
        <v>49</v>
      </c>
      <c r="T89" s="2">
        <v>2</v>
      </c>
      <c r="U89" s="4">
        <v>45772</v>
      </c>
      <c r="V89" s="2">
        <f t="shared" si="20"/>
        <v>135</v>
      </c>
      <c r="W89" s="2">
        <v>3</v>
      </c>
      <c r="X89" s="2">
        <v>5</v>
      </c>
      <c r="Y89" s="6">
        <v>8.9</v>
      </c>
      <c r="Z89" s="5">
        <v>0.19</v>
      </c>
      <c r="AA89" s="7">
        <f t="shared" si="21"/>
        <v>0.19895402298850573</v>
      </c>
      <c r="AB89" s="7">
        <f t="shared" si="22"/>
        <v>397.90804597701145</v>
      </c>
      <c r="AC89" s="8">
        <f t="shared" si="23"/>
        <v>0.39790804597701146</v>
      </c>
      <c r="AD89" s="6">
        <v>5.79</v>
      </c>
      <c r="AE89" s="6">
        <f t="shared" si="24"/>
        <v>6.0628620689655168</v>
      </c>
      <c r="AF89" s="5">
        <v>3.0000000000000001E-3</v>
      </c>
      <c r="AG89" s="7">
        <f t="shared" si="25"/>
        <v>6.2827586206896546</v>
      </c>
      <c r="AH89" s="18">
        <f t="shared" si="26"/>
        <v>1.5789473684210575E-2</v>
      </c>
      <c r="AI89" s="2"/>
      <c r="AJ89" s="2"/>
      <c r="AK89" s="2"/>
      <c r="AL89" s="2" t="s">
        <v>118</v>
      </c>
    </row>
    <row r="90" spans="1:38" x14ac:dyDescent="0.3">
      <c r="A90" s="2">
        <v>18</v>
      </c>
      <c r="B90" s="2">
        <v>2</v>
      </c>
      <c r="C90" s="3">
        <v>89</v>
      </c>
      <c r="D90" s="2">
        <v>3</v>
      </c>
      <c r="E90" s="3" t="s">
        <v>88</v>
      </c>
      <c r="F90" s="2" t="s">
        <v>89</v>
      </c>
      <c r="G90" s="4">
        <v>45637</v>
      </c>
      <c r="H90" s="2">
        <v>-48.142561899999997</v>
      </c>
      <c r="I90" s="2">
        <v>-22.8178296</v>
      </c>
      <c r="J90" s="2" t="s">
        <v>33</v>
      </c>
      <c r="K90" s="4">
        <v>45682</v>
      </c>
      <c r="L90" s="2">
        <f t="shared" si="18"/>
        <v>45</v>
      </c>
      <c r="M90" s="2">
        <v>43</v>
      </c>
      <c r="N90" s="4">
        <v>45724</v>
      </c>
      <c r="O90" s="4">
        <v>45735</v>
      </c>
      <c r="P90" s="2">
        <f t="shared" si="19"/>
        <v>11</v>
      </c>
      <c r="Q90" s="2">
        <v>82</v>
      </c>
      <c r="R90" s="20" t="s">
        <v>53</v>
      </c>
      <c r="S90" s="20" t="s">
        <v>38</v>
      </c>
      <c r="T90" s="2">
        <v>1</v>
      </c>
      <c r="U90" s="4">
        <v>45757</v>
      </c>
      <c r="V90" s="2">
        <f t="shared" si="20"/>
        <v>120</v>
      </c>
      <c r="W90" s="2">
        <v>4</v>
      </c>
      <c r="X90" s="2">
        <v>3</v>
      </c>
      <c r="Y90" s="6">
        <v>10.4</v>
      </c>
      <c r="Z90" s="5">
        <v>0.628</v>
      </c>
      <c r="AA90" s="7">
        <f t="shared" si="21"/>
        <v>0.646767816091954</v>
      </c>
      <c r="AB90" s="7">
        <f t="shared" si="22"/>
        <v>1293.5356321839081</v>
      </c>
      <c r="AC90" s="8">
        <f t="shared" si="23"/>
        <v>1.293535632183908</v>
      </c>
      <c r="AD90" s="6">
        <v>10.29</v>
      </c>
      <c r="AE90" s="6">
        <f t="shared" si="24"/>
        <v>10.597517241379309</v>
      </c>
      <c r="AF90" s="5">
        <v>0.27</v>
      </c>
      <c r="AG90" s="7">
        <f t="shared" si="25"/>
        <v>556.1379310344829</v>
      </c>
      <c r="AH90" s="18">
        <f t="shared" si="26"/>
        <v>0.4299363057324842</v>
      </c>
      <c r="AI90" s="2"/>
      <c r="AJ90" s="2"/>
      <c r="AK90" s="2"/>
      <c r="AL90" s="2"/>
    </row>
    <row r="91" spans="1:38" x14ac:dyDescent="0.3">
      <c r="A91" s="2">
        <v>18</v>
      </c>
      <c r="B91" s="2">
        <v>1</v>
      </c>
      <c r="C91" s="3">
        <v>90</v>
      </c>
      <c r="D91" s="2">
        <v>3</v>
      </c>
      <c r="E91" s="3" t="s">
        <v>64</v>
      </c>
      <c r="F91" s="2" t="s">
        <v>65</v>
      </c>
      <c r="G91" s="4">
        <v>45637</v>
      </c>
      <c r="H91" s="2">
        <v>-48.130145400000004</v>
      </c>
      <c r="I91" s="2">
        <v>-22.7962977</v>
      </c>
      <c r="J91" s="2" t="s">
        <v>33</v>
      </c>
      <c r="K91" s="4">
        <v>45682</v>
      </c>
      <c r="L91" s="2">
        <f t="shared" si="18"/>
        <v>45</v>
      </c>
      <c r="M91" s="2">
        <v>47</v>
      </c>
      <c r="N91" s="4">
        <v>45723</v>
      </c>
      <c r="O91" s="4">
        <v>45733</v>
      </c>
      <c r="P91" s="2">
        <f t="shared" si="19"/>
        <v>10</v>
      </c>
      <c r="Q91" s="2">
        <v>63</v>
      </c>
      <c r="R91" s="20" t="s">
        <v>53</v>
      </c>
      <c r="S91" s="20" t="s">
        <v>38</v>
      </c>
      <c r="T91" s="2">
        <v>4</v>
      </c>
      <c r="U91" s="4">
        <v>45753</v>
      </c>
      <c r="V91" s="2">
        <f t="shared" si="20"/>
        <v>116</v>
      </c>
      <c r="W91" s="2">
        <v>3</v>
      </c>
      <c r="X91" s="2">
        <v>2</v>
      </c>
      <c r="Y91" s="6">
        <v>9.6</v>
      </c>
      <c r="Z91" s="5">
        <v>0.55200000000000005</v>
      </c>
      <c r="AA91" s="7">
        <f t="shared" si="21"/>
        <v>0.57357241379310353</v>
      </c>
      <c r="AB91" s="7">
        <f t="shared" si="22"/>
        <v>1147.1448275862069</v>
      </c>
      <c r="AC91" s="8">
        <f t="shared" si="23"/>
        <v>1.1471448275862068</v>
      </c>
      <c r="AD91" s="6">
        <v>9.73</v>
      </c>
      <c r="AE91" s="6">
        <f t="shared" si="24"/>
        <v>10.110252873563221</v>
      </c>
      <c r="AF91" s="5">
        <v>0.14899999999999999</v>
      </c>
      <c r="AG91" s="7">
        <f t="shared" si="25"/>
        <v>309.64597701149427</v>
      </c>
      <c r="AH91" s="18">
        <f t="shared" si="26"/>
        <v>0.26992753623188415</v>
      </c>
      <c r="AI91" s="2"/>
      <c r="AJ91" s="2"/>
      <c r="AK91" s="2"/>
      <c r="AL91" s="2"/>
    </row>
  </sheetData>
  <autoFilter ref="A1:AL91" xr:uid="{BA4B8D49-C18D-462D-9F6D-21FAB11469A6}">
    <sortState xmlns:xlrd2="http://schemas.microsoft.com/office/spreadsheetml/2017/richdata2" ref="A2:AL91">
      <sortCondition ref="C1:C9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VCU_ANHUMAS_NOCONTROL_24_25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Silva Pavan</dc:creator>
  <cp:lastModifiedBy>FNU LNU</cp:lastModifiedBy>
  <dcterms:created xsi:type="dcterms:W3CDTF">2025-05-07T03:41:45Z</dcterms:created>
  <dcterms:modified xsi:type="dcterms:W3CDTF">2025-11-06T00:37:58Z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2025-05-07T03:42:29Z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50be606e-bf35-466e-a4e3-bc3816cc0fbf</vt:lpwstr>
  </property>
  <property fmtid="{D5CDD505-2E9C-101B-9397-08002B2CF9AE}" pid="7" name="MSIP_Label_defa4170-0d19-0005-0004-bc88714345d2_ActionId">
    <vt:lpwstr>954b371a-2ff7-4769-9cfd-b98d31fef5af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