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aop\Desktop\JPSP_ESALQ\experimentos_soja\season2425\"/>
    </mc:Choice>
  </mc:AlternateContent>
  <xr:revisionPtr revIDLastSave="0" documentId="13_ncr:1_{F3AE1BD4-CBAF-439D-9E87-4C9353E2E2A9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VCU_ESALQ_UNESPJAB_24_25" sheetId="1" r:id="rId1"/>
  </sheets>
  <definedNames>
    <definedName name="_xlnm._FilterDatabase" localSheetId="0" hidden="1">VCU_ESALQ_UNESPJAB_24_25!$A$1:$AR$91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q4fQTUGIu43ToGs94XKjLVjwpL7tu7ADBD3nCMflpbU="/>
    </ext>
  </extLst>
</workbook>
</file>

<file path=xl/calcChain.xml><?xml version="1.0" encoding="utf-8"?>
<calcChain xmlns="http://schemas.openxmlformats.org/spreadsheetml/2006/main">
  <c r="AL45" i="1" l="1"/>
  <c r="AQ25" i="1"/>
  <c r="AQ36" i="1"/>
  <c r="AQ35" i="1"/>
  <c r="AQ34" i="1"/>
  <c r="AQ37" i="1"/>
  <c r="AQ3" i="1"/>
  <c r="AQ29" i="1"/>
  <c r="AQ24" i="1"/>
  <c r="AQ40" i="1"/>
  <c r="AQ4" i="1"/>
  <c r="AQ71" i="1"/>
  <c r="AQ41" i="1"/>
  <c r="AQ16" i="1"/>
  <c r="AQ13" i="1"/>
  <c r="AQ28" i="1"/>
  <c r="AQ72" i="1"/>
  <c r="AQ74" i="1"/>
  <c r="AQ6" i="1"/>
  <c r="AQ69" i="1"/>
  <c r="AQ39" i="1"/>
  <c r="AQ44" i="1"/>
  <c r="AQ61" i="1"/>
  <c r="AQ7" i="1"/>
  <c r="AQ27" i="1"/>
  <c r="AQ68" i="1"/>
  <c r="AQ2" i="1"/>
  <c r="AQ21" i="1"/>
  <c r="AQ50" i="1"/>
  <c r="AQ43" i="1"/>
  <c r="AQ32" i="1"/>
  <c r="AQ19" i="1"/>
  <c r="AQ20" i="1"/>
  <c r="AQ70" i="1"/>
  <c r="AQ30" i="1"/>
  <c r="AQ38" i="1"/>
  <c r="AQ9" i="1"/>
  <c r="AQ59" i="1"/>
  <c r="AQ91" i="1"/>
  <c r="AQ62" i="1"/>
  <c r="AQ5" i="1"/>
  <c r="AQ33" i="1"/>
  <c r="AQ46" i="1"/>
  <c r="AQ12" i="1"/>
  <c r="AQ56" i="1"/>
  <c r="AQ22" i="1"/>
  <c r="AQ57" i="1"/>
  <c r="AQ42" i="1"/>
  <c r="AQ84" i="1"/>
  <c r="AQ76" i="1"/>
  <c r="AQ47" i="1"/>
  <c r="AQ10" i="1"/>
  <c r="AQ65" i="1"/>
  <c r="AQ8" i="1"/>
  <c r="AQ15" i="1"/>
  <c r="AQ23" i="1"/>
  <c r="AQ14" i="1"/>
  <c r="AQ89" i="1"/>
  <c r="AQ87" i="1"/>
  <c r="AQ90" i="1"/>
  <c r="AQ82" i="1"/>
  <c r="AQ11" i="1"/>
  <c r="AQ52" i="1"/>
  <c r="AQ64" i="1"/>
  <c r="AQ80" i="1"/>
  <c r="AQ60" i="1"/>
  <c r="AQ66" i="1"/>
  <c r="AQ67" i="1"/>
  <c r="AQ53" i="1"/>
  <c r="AQ85" i="1"/>
  <c r="AQ58" i="1"/>
  <c r="AQ51" i="1"/>
  <c r="AQ88" i="1"/>
  <c r="AQ63" i="1"/>
  <c r="AQ86" i="1"/>
  <c r="AQ31" i="1"/>
  <c r="AQ26" i="1"/>
  <c r="AQ18" i="1"/>
  <c r="AQ54" i="1"/>
  <c r="AQ49" i="1"/>
  <c r="AQ83" i="1"/>
  <c r="AQ48" i="1"/>
  <c r="AQ75" i="1"/>
  <c r="AQ17" i="1"/>
  <c r="AQ77" i="1"/>
  <c r="AQ55" i="1"/>
  <c r="AQ73" i="1"/>
  <c r="AQ81" i="1"/>
  <c r="AQ79" i="1"/>
  <c r="AQ78" i="1"/>
  <c r="AQ45" i="1"/>
  <c r="AR45" i="1" l="1"/>
  <c r="AL25" i="1"/>
  <c r="AL36" i="1"/>
  <c r="AL35" i="1"/>
  <c r="AL34" i="1"/>
  <c r="AL37" i="1"/>
  <c r="AL3" i="1"/>
  <c r="AL29" i="1"/>
  <c r="AL24" i="1"/>
  <c r="AL40" i="1"/>
  <c r="AL4" i="1"/>
  <c r="AL71" i="1"/>
  <c r="AL41" i="1"/>
  <c r="AL16" i="1"/>
  <c r="AL13" i="1"/>
  <c r="AL28" i="1"/>
  <c r="AL72" i="1"/>
  <c r="AL74" i="1"/>
  <c r="AL6" i="1"/>
  <c r="AL69" i="1"/>
  <c r="AL39" i="1"/>
  <c r="AL44" i="1"/>
  <c r="AL61" i="1"/>
  <c r="AR61" i="1" s="1"/>
  <c r="AL7" i="1"/>
  <c r="AR7" i="1" s="1"/>
  <c r="AL27" i="1"/>
  <c r="AL68" i="1"/>
  <c r="AL2" i="1"/>
  <c r="AL21" i="1"/>
  <c r="AR21" i="1" s="1"/>
  <c r="AL50" i="1"/>
  <c r="AR50" i="1" s="1"/>
  <c r="AL43" i="1"/>
  <c r="AR43" i="1" s="1"/>
  <c r="AL32" i="1"/>
  <c r="AR32" i="1" s="1"/>
  <c r="AL19" i="1"/>
  <c r="AL20" i="1"/>
  <c r="AL70" i="1"/>
  <c r="AL30" i="1"/>
  <c r="AR30" i="1" s="1"/>
  <c r="AL38" i="1"/>
  <c r="AL9" i="1"/>
  <c r="AL59" i="1"/>
  <c r="AL91" i="1"/>
  <c r="AR91" i="1" s="1"/>
  <c r="AL62" i="1"/>
  <c r="AL5" i="1"/>
  <c r="AL33" i="1"/>
  <c r="AL46" i="1"/>
  <c r="AL12" i="1"/>
  <c r="AL56" i="1"/>
  <c r="AL22" i="1"/>
  <c r="AL57" i="1"/>
  <c r="AR57" i="1" s="1"/>
  <c r="AL42" i="1"/>
  <c r="AL84" i="1"/>
  <c r="AL76" i="1"/>
  <c r="AL47" i="1"/>
  <c r="AL10" i="1"/>
  <c r="AL65" i="1"/>
  <c r="AL8" i="1"/>
  <c r="AL15" i="1"/>
  <c r="AL23" i="1"/>
  <c r="AL14" i="1"/>
  <c r="AL89" i="1"/>
  <c r="AL87" i="1"/>
  <c r="AR87" i="1" s="1"/>
  <c r="AL90" i="1"/>
  <c r="AL82" i="1"/>
  <c r="AL11" i="1"/>
  <c r="AL52" i="1"/>
  <c r="AR52" i="1" s="1"/>
  <c r="AL64" i="1"/>
  <c r="AL80" i="1"/>
  <c r="AL60" i="1"/>
  <c r="AL66" i="1"/>
  <c r="AL67" i="1"/>
  <c r="AL53" i="1"/>
  <c r="AL85" i="1"/>
  <c r="AL58" i="1"/>
  <c r="AR58" i="1" s="1"/>
  <c r="AL51" i="1"/>
  <c r="AL88" i="1"/>
  <c r="AL63" i="1"/>
  <c r="AL86" i="1"/>
  <c r="AL31" i="1"/>
  <c r="AL26" i="1"/>
  <c r="AL18" i="1"/>
  <c r="AL54" i="1"/>
  <c r="AR54" i="1" s="1"/>
  <c r="AL49" i="1"/>
  <c r="AL83" i="1"/>
  <c r="AL48" i="1"/>
  <c r="AL75" i="1"/>
  <c r="AL17" i="1"/>
  <c r="AR17" i="1" s="1"/>
  <c r="AL77" i="1"/>
  <c r="AR77" i="1" s="1"/>
  <c r="AL55" i="1"/>
  <c r="AR55" i="1" s="1"/>
  <c r="AL73" i="1"/>
  <c r="AR73" i="1" s="1"/>
  <c r="AL81" i="1"/>
  <c r="AL79" i="1"/>
  <c r="AL78" i="1"/>
  <c r="AO78" i="1"/>
  <c r="AK78" i="1"/>
  <c r="AF78" i="1"/>
  <c r="AC78" i="1"/>
  <c r="W78" i="1"/>
  <c r="P78" i="1"/>
  <c r="J78" i="1"/>
  <c r="AO79" i="1"/>
  <c r="AK79" i="1"/>
  <c r="AF79" i="1"/>
  <c r="AC79" i="1"/>
  <c r="W79" i="1"/>
  <c r="P79" i="1"/>
  <c r="J79" i="1"/>
  <c r="AO81" i="1"/>
  <c r="AK81" i="1"/>
  <c r="AF81" i="1"/>
  <c r="AC81" i="1"/>
  <c r="W81" i="1"/>
  <c r="P81" i="1"/>
  <c r="J81" i="1"/>
  <c r="AO73" i="1"/>
  <c r="AK73" i="1"/>
  <c r="AF73" i="1"/>
  <c r="AC73" i="1"/>
  <c r="W73" i="1"/>
  <c r="P73" i="1"/>
  <c r="J73" i="1"/>
  <c r="AO55" i="1"/>
  <c r="AK55" i="1"/>
  <c r="AF55" i="1"/>
  <c r="AC55" i="1"/>
  <c r="W55" i="1"/>
  <c r="P55" i="1"/>
  <c r="J55" i="1"/>
  <c r="AO77" i="1"/>
  <c r="AK77" i="1"/>
  <c r="AF77" i="1"/>
  <c r="AC77" i="1"/>
  <c r="W77" i="1"/>
  <c r="P77" i="1"/>
  <c r="J77" i="1"/>
  <c r="AO17" i="1"/>
  <c r="AK17" i="1"/>
  <c r="AF17" i="1"/>
  <c r="AC17" i="1"/>
  <c r="W17" i="1"/>
  <c r="P17" i="1"/>
  <c r="J17" i="1"/>
  <c r="AO75" i="1"/>
  <c r="AK75" i="1"/>
  <c r="AF75" i="1"/>
  <c r="AC75" i="1"/>
  <c r="W75" i="1"/>
  <c r="P75" i="1"/>
  <c r="J75" i="1"/>
  <c r="AO48" i="1"/>
  <c r="AK48" i="1"/>
  <c r="AF48" i="1"/>
  <c r="AC48" i="1"/>
  <c r="W48" i="1"/>
  <c r="P48" i="1"/>
  <c r="J48" i="1"/>
  <c r="AO83" i="1"/>
  <c r="AK83" i="1"/>
  <c r="AF83" i="1"/>
  <c r="AC83" i="1"/>
  <c r="W83" i="1"/>
  <c r="P83" i="1"/>
  <c r="J83" i="1"/>
  <c r="AO49" i="1"/>
  <c r="AK49" i="1"/>
  <c r="AF49" i="1"/>
  <c r="AC49" i="1"/>
  <c r="W49" i="1"/>
  <c r="P49" i="1"/>
  <c r="J49" i="1"/>
  <c r="AO54" i="1"/>
  <c r="AK54" i="1"/>
  <c r="AF54" i="1"/>
  <c r="AC54" i="1"/>
  <c r="W54" i="1"/>
  <c r="P54" i="1"/>
  <c r="J54" i="1"/>
  <c r="AO18" i="1"/>
  <c r="AK18" i="1"/>
  <c r="AF18" i="1"/>
  <c r="AC18" i="1"/>
  <c r="W18" i="1"/>
  <c r="P18" i="1"/>
  <c r="J18" i="1"/>
  <c r="AO26" i="1"/>
  <c r="AK26" i="1"/>
  <c r="AF26" i="1"/>
  <c r="AC26" i="1"/>
  <c r="W26" i="1"/>
  <c r="P26" i="1"/>
  <c r="J26" i="1"/>
  <c r="AO31" i="1"/>
  <c r="AK31" i="1"/>
  <c r="AF31" i="1"/>
  <c r="AC31" i="1"/>
  <c r="W31" i="1"/>
  <c r="P31" i="1"/>
  <c r="J31" i="1"/>
  <c r="AO86" i="1"/>
  <c r="AK86" i="1"/>
  <c r="AF86" i="1"/>
  <c r="AC86" i="1"/>
  <c r="W86" i="1"/>
  <c r="P86" i="1"/>
  <c r="J86" i="1"/>
  <c r="AO63" i="1"/>
  <c r="AK63" i="1"/>
  <c r="AF63" i="1"/>
  <c r="AC63" i="1"/>
  <c r="W63" i="1"/>
  <c r="P63" i="1"/>
  <c r="J63" i="1"/>
  <c r="AO88" i="1"/>
  <c r="AK88" i="1"/>
  <c r="AF88" i="1"/>
  <c r="AC88" i="1"/>
  <c r="W88" i="1"/>
  <c r="P88" i="1"/>
  <c r="J88" i="1"/>
  <c r="AO51" i="1"/>
  <c r="AK51" i="1"/>
  <c r="AF51" i="1"/>
  <c r="AC51" i="1"/>
  <c r="W51" i="1"/>
  <c r="P51" i="1"/>
  <c r="J51" i="1"/>
  <c r="AO58" i="1"/>
  <c r="AK58" i="1"/>
  <c r="AF58" i="1"/>
  <c r="AC58" i="1"/>
  <c r="W58" i="1"/>
  <c r="P58" i="1"/>
  <c r="J58" i="1"/>
  <c r="AO85" i="1"/>
  <c r="AK85" i="1"/>
  <c r="AF85" i="1"/>
  <c r="AC85" i="1"/>
  <c r="W85" i="1"/>
  <c r="P85" i="1"/>
  <c r="J85" i="1"/>
  <c r="AO53" i="1"/>
  <c r="AK53" i="1"/>
  <c r="AF53" i="1"/>
  <c r="AC53" i="1"/>
  <c r="W53" i="1"/>
  <c r="P53" i="1"/>
  <c r="J53" i="1"/>
  <c r="AO67" i="1"/>
  <c r="AK67" i="1"/>
  <c r="AF67" i="1"/>
  <c r="AC67" i="1"/>
  <c r="W67" i="1"/>
  <c r="P67" i="1"/>
  <c r="J67" i="1"/>
  <c r="AO66" i="1"/>
  <c r="AK66" i="1"/>
  <c r="AF66" i="1"/>
  <c r="AC66" i="1"/>
  <c r="W66" i="1"/>
  <c r="P66" i="1"/>
  <c r="J66" i="1"/>
  <c r="AO60" i="1"/>
  <c r="AK60" i="1"/>
  <c r="AF60" i="1"/>
  <c r="AC60" i="1"/>
  <c r="W60" i="1"/>
  <c r="P60" i="1"/>
  <c r="J60" i="1"/>
  <c r="AO80" i="1"/>
  <c r="AK80" i="1"/>
  <c r="AF80" i="1"/>
  <c r="AC80" i="1"/>
  <c r="W80" i="1"/>
  <c r="P80" i="1"/>
  <c r="J80" i="1"/>
  <c r="AO64" i="1"/>
  <c r="AK64" i="1"/>
  <c r="AF64" i="1"/>
  <c r="AC64" i="1"/>
  <c r="W64" i="1"/>
  <c r="P64" i="1"/>
  <c r="J64" i="1"/>
  <c r="AO52" i="1"/>
  <c r="AK52" i="1"/>
  <c r="AF52" i="1"/>
  <c r="AC52" i="1"/>
  <c r="W52" i="1"/>
  <c r="P52" i="1"/>
  <c r="J52" i="1"/>
  <c r="AO11" i="1"/>
  <c r="AK11" i="1"/>
  <c r="AF11" i="1"/>
  <c r="AC11" i="1"/>
  <c r="W11" i="1"/>
  <c r="P11" i="1"/>
  <c r="J11" i="1"/>
  <c r="AO82" i="1"/>
  <c r="AK82" i="1"/>
  <c r="AF82" i="1"/>
  <c r="AC82" i="1"/>
  <c r="W82" i="1"/>
  <c r="P82" i="1"/>
  <c r="J82" i="1"/>
  <c r="AO90" i="1"/>
  <c r="AK90" i="1"/>
  <c r="AF90" i="1"/>
  <c r="AC90" i="1"/>
  <c r="W90" i="1"/>
  <c r="P90" i="1"/>
  <c r="J90" i="1"/>
  <c r="AO87" i="1"/>
  <c r="AK87" i="1"/>
  <c r="AF87" i="1"/>
  <c r="AC87" i="1"/>
  <c r="W87" i="1"/>
  <c r="P87" i="1"/>
  <c r="J87" i="1"/>
  <c r="AO89" i="1"/>
  <c r="AK89" i="1"/>
  <c r="AF89" i="1"/>
  <c r="AC89" i="1"/>
  <c r="W89" i="1"/>
  <c r="P89" i="1"/>
  <c r="J89" i="1"/>
  <c r="AO14" i="1"/>
  <c r="AK14" i="1"/>
  <c r="AF14" i="1"/>
  <c r="AC14" i="1"/>
  <c r="W14" i="1"/>
  <c r="P14" i="1"/>
  <c r="J14" i="1"/>
  <c r="AO23" i="1"/>
  <c r="AK23" i="1"/>
  <c r="AF23" i="1"/>
  <c r="AC23" i="1"/>
  <c r="W23" i="1"/>
  <c r="P23" i="1"/>
  <c r="J23" i="1"/>
  <c r="AO15" i="1"/>
  <c r="AK15" i="1"/>
  <c r="AF15" i="1"/>
  <c r="AC15" i="1"/>
  <c r="W15" i="1"/>
  <c r="P15" i="1"/>
  <c r="J15" i="1"/>
  <c r="AO8" i="1"/>
  <c r="AK8" i="1"/>
  <c r="AF8" i="1"/>
  <c r="AC8" i="1"/>
  <c r="W8" i="1"/>
  <c r="P8" i="1"/>
  <c r="J8" i="1"/>
  <c r="AO65" i="1"/>
  <c r="AK65" i="1"/>
  <c r="AF65" i="1"/>
  <c r="AC65" i="1"/>
  <c r="W65" i="1"/>
  <c r="P65" i="1"/>
  <c r="J65" i="1"/>
  <c r="AO10" i="1"/>
  <c r="AK10" i="1"/>
  <c r="AF10" i="1"/>
  <c r="AC10" i="1"/>
  <c r="W10" i="1"/>
  <c r="P10" i="1"/>
  <c r="J10" i="1"/>
  <c r="AO47" i="1"/>
  <c r="AK47" i="1"/>
  <c r="AF47" i="1"/>
  <c r="AC47" i="1"/>
  <c r="W47" i="1"/>
  <c r="P47" i="1"/>
  <c r="J47" i="1"/>
  <c r="AO76" i="1"/>
  <c r="AK76" i="1"/>
  <c r="AF76" i="1"/>
  <c r="AC76" i="1"/>
  <c r="W76" i="1"/>
  <c r="P76" i="1"/>
  <c r="J76" i="1"/>
  <c r="AO84" i="1"/>
  <c r="AK84" i="1"/>
  <c r="AF84" i="1"/>
  <c r="AC84" i="1"/>
  <c r="W84" i="1"/>
  <c r="P84" i="1"/>
  <c r="J84" i="1"/>
  <c r="AO42" i="1"/>
  <c r="AK42" i="1"/>
  <c r="AF42" i="1"/>
  <c r="AC42" i="1"/>
  <c r="W42" i="1"/>
  <c r="P42" i="1"/>
  <c r="J42" i="1"/>
  <c r="AO57" i="1"/>
  <c r="AK57" i="1"/>
  <c r="AF57" i="1"/>
  <c r="AC57" i="1"/>
  <c r="W57" i="1"/>
  <c r="P57" i="1"/>
  <c r="J57" i="1"/>
  <c r="AO22" i="1"/>
  <c r="AK22" i="1"/>
  <c r="AF22" i="1"/>
  <c r="AC22" i="1"/>
  <c r="W22" i="1"/>
  <c r="P22" i="1"/>
  <c r="J22" i="1"/>
  <c r="AO56" i="1"/>
  <c r="AK56" i="1"/>
  <c r="AF56" i="1"/>
  <c r="AC56" i="1"/>
  <c r="W56" i="1"/>
  <c r="P56" i="1"/>
  <c r="J56" i="1"/>
  <c r="AO12" i="1"/>
  <c r="AK12" i="1"/>
  <c r="AF12" i="1"/>
  <c r="AC12" i="1"/>
  <c r="W12" i="1"/>
  <c r="P12" i="1"/>
  <c r="J12" i="1"/>
  <c r="AO46" i="1"/>
  <c r="AK46" i="1"/>
  <c r="AF46" i="1"/>
  <c r="AC46" i="1"/>
  <c r="W46" i="1"/>
  <c r="P46" i="1"/>
  <c r="J46" i="1"/>
  <c r="AO33" i="1"/>
  <c r="AK33" i="1"/>
  <c r="AF33" i="1"/>
  <c r="AC33" i="1"/>
  <c r="W33" i="1"/>
  <c r="P33" i="1"/>
  <c r="J33" i="1"/>
  <c r="AO5" i="1"/>
  <c r="AK5" i="1"/>
  <c r="AF5" i="1"/>
  <c r="AC5" i="1"/>
  <c r="W5" i="1"/>
  <c r="P5" i="1"/>
  <c r="J5" i="1"/>
  <c r="AO62" i="1"/>
  <c r="AK62" i="1"/>
  <c r="AF62" i="1"/>
  <c r="AC62" i="1"/>
  <c r="W62" i="1"/>
  <c r="P62" i="1"/>
  <c r="J62" i="1"/>
  <c r="AO91" i="1"/>
  <c r="AK91" i="1"/>
  <c r="AF91" i="1"/>
  <c r="AC91" i="1"/>
  <c r="W91" i="1"/>
  <c r="P91" i="1"/>
  <c r="J91" i="1"/>
  <c r="AO59" i="1"/>
  <c r="AK59" i="1"/>
  <c r="AF59" i="1"/>
  <c r="AC59" i="1"/>
  <c r="W59" i="1"/>
  <c r="P59" i="1"/>
  <c r="J59" i="1"/>
  <c r="AO9" i="1"/>
  <c r="AK9" i="1"/>
  <c r="AF9" i="1"/>
  <c r="AC9" i="1"/>
  <c r="W9" i="1"/>
  <c r="P9" i="1"/>
  <c r="J9" i="1"/>
  <c r="AO38" i="1"/>
  <c r="AK38" i="1"/>
  <c r="AF38" i="1"/>
  <c r="AC38" i="1"/>
  <c r="W38" i="1"/>
  <c r="P38" i="1"/>
  <c r="J38" i="1"/>
  <c r="AO30" i="1"/>
  <c r="AK30" i="1"/>
  <c r="AF30" i="1"/>
  <c r="AC30" i="1"/>
  <c r="W30" i="1"/>
  <c r="P30" i="1"/>
  <c r="J30" i="1"/>
  <c r="AO70" i="1"/>
  <c r="AK70" i="1"/>
  <c r="AF70" i="1"/>
  <c r="AC70" i="1"/>
  <c r="W70" i="1"/>
  <c r="P70" i="1"/>
  <c r="J70" i="1"/>
  <c r="AO20" i="1"/>
  <c r="AK20" i="1"/>
  <c r="AF20" i="1"/>
  <c r="AC20" i="1"/>
  <c r="W20" i="1"/>
  <c r="P20" i="1"/>
  <c r="J20" i="1"/>
  <c r="AO19" i="1"/>
  <c r="AK19" i="1"/>
  <c r="AF19" i="1"/>
  <c r="AC19" i="1"/>
  <c r="W19" i="1"/>
  <c r="P19" i="1"/>
  <c r="J19" i="1"/>
  <c r="AO32" i="1"/>
  <c r="AK32" i="1"/>
  <c r="AF32" i="1"/>
  <c r="AC32" i="1"/>
  <c r="W32" i="1"/>
  <c r="P32" i="1"/>
  <c r="J32" i="1"/>
  <c r="AO43" i="1"/>
  <c r="AM43" i="1"/>
  <c r="AK43" i="1"/>
  <c r="AF43" i="1"/>
  <c r="AC43" i="1"/>
  <c r="W43" i="1"/>
  <c r="P43" i="1"/>
  <c r="J43" i="1"/>
  <c r="AO50" i="1"/>
  <c r="AM50" i="1"/>
  <c r="AK50" i="1"/>
  <c r="AF50" i="1"/>
  <c r="AC50" i="1"/>
  <c r="W50" i="1"/>
  <c r="P50" i="1"/>
  <c r="J50" i="1"/>
  <c r="AO21" i="1"/>
  <c r="AM21" i="1"/>
  <c r="AK21" i="1"/>
  <c r="AF21" i="1"/>
  <c r="AC21" i="1"/>
  <c r="W21" i="1"/>
  <c r="P21" i="1"/>
  <c r="J21" i="1"/>
  <c r="AO2" i="1"/>
  <c r="AK2" i="1"/>
  <c r="AF2" i="1"/>
  <c r="AC2" i="1"/>
  <c r="W2" i="1"/>
  <c r="P2" i="1"/>
  <c r="J2" i="1"/>
  <c r="AO68" i="1"/>
  <c r="AK68" i="1"/>
  <c r="AF68" i="1"/>
  <c r="AC68" i="1"/>
  <c r="W68" i="1"/>
  <c r="P68" i="1"/>
  <c r="J68" i="1"/>
  <c r="AO27" i="1"/>
  <c r="AK27" i="1"/>
  <c r="AF27" i="1"/>
  <c r="AC27" i="1"/>
  <c r="W27" i="1"/>
  <c r="P27" i="1"/>
  <c r="J27" i="1"/>
  <c r="AO7" i="1"/>
  <c r="AM7" i="1"/>
  <c r="AK7" i="1"/>
  <c r="AF7" i="1"/>
  <c r="AC7" i="1"/>
  <c r="W7" i="1"/>
  <c r="P7" i="1"/>
  <c r="J7" i="1"/>
  <c r="AO61" i="1"/>
  <c r="AK61" i="1"/>
  <c r="AF61" i="1"/>
  <c r="AC61" i="1"/>
  <c r="W61" i="1"/>
  <c r="P61" i="1"/>
  <c r="J61" i="1"/>
  <c r="AO44" i="1"/>
  <c r="AK44" i="1"/>
  <c r="AF44" i="1"/>
  <c r="AC44" i="1"/>
  <c r="W44" i="1"/>
  <c r="P44" i="1"/>
  <c r="J44" i="1"/>
  <c r="AO39" i="1"/>
  <c r="AK39" i="1"/>
  <c r="AF39" i="1"/>
  <c r="AC39" i="1"/>
  <c r="W39" i="1"/>
  <c r="P39" i="1"/>
  <c r="J39" i="1"/>
  <c r="AO69" i="1"/>
  <c r="AK69" i="1"/>
  <c r="AF69" i="1"/>
  <c r="AC69" i="1"/>
  <c r="W69" i="1"/>
  <c r="P69" i="1"/>
  <c r="J69" i="1"/>
  <c r="AO6" i="1"/>
  <c r="AK6" i="1"/>
  <c r="AF6" i="1"/>
  <c r="AC6" i="1"/>
  <c r="W6" i="1"/>
  <c r="P6" i="1"/>
  <c r="J6" i="1"/>
  <c r="AO74" i="1"/>
  <c r="AK74" i="1"/>
  <c r="AF74" i="1"/>
  <c r="AC74" i="1"/>
  <c r="W74" i="1"/>
  <c r="P74" i="1"/>
  <c r="J74" i="1"/>
  <c r="AO72" i="1"/>
  <c r="AK72" i="1"/>
  <c r="AF72" i="1"/>
  <c r="AC72" i="1"/>
  <c r="W72" i="1"/>
  <c r="P72" i="1"/>
  <c r="J72" i="1"/>
  <c r="AO28" i="1"/>
  <c r="AK28" i="1"/>
  <c r="AF28" i="1"/>
  <c r="AC28" i="1"/>
  <c r="W28" i="1"/>
  <c r="P28" i="1"/>
  <c r="J28" i="1"/>
  <c r="AO13" i="1"/>
  <c r="AK13" i="1"/>
  <c r="AF13" i="1"/>
  <c r="AC13" i="1"/>
  <c r="W13" i="1"/>
  <c r="P13" i="1"/>
  <c r="J13" i="1"/>
  <c r="AO16" i="1"/>
  <c r="AK16" i="1"/>
  <c r="AF16" i="1"/>
  <c r="AC16" i="1"/>
  <c r="W16" i="1"/>
  <c r="P16" i="1"/>
  <c r="J16" i="1"/>
  <c r="AO41" i="1"/>
  <c r="AK41" i="1"/>
  <c r="AF41" i="1"/>
  <c r="AC41" i="1"/>
  <c r="W41" i="1"/>
  <c r="P41" i="1"/>
  <c r="J41" i="1"/>
  <c r="AO71" i="1"/>
  <c r="AK71" i="1"/>
  <c r="AF71" i="1"/>
  <c r="AC71" i="1"/>
  <c r="W71" i="1"/>
  <c r="P71" i="1"/>
  <c r="J71" i="1"/>
  <c r="AO4" i="1"/>
  <c r="AK4" i="1"/>
  <c r="AF4" i="1"/>
  <c r="AC4" i="1"/>
  <c r="W4" i="1"/>
  <c r="P4" i="1"/>
  <c r="J4" i="1"/>
  <c r="AO40" i="1"/>
  <c r="AK40" i="1"/>
  <c r="AF40" i="1"/>
  <c r="AC40" i="1"/>
  <c r="W40" i="1"/>
  <c r="P40" i="1"/>
  <c r="J40" i="1"/>
  <c r="AO24" i="1"/>
  <c r="AK24" i="1"/>
  <c r="AF24" i="1"/>
  <c r="AC24" i="1"/>
  <c r="W24" i="1"/>
  <c r="P24" i="1"/>
  <c r="J24" i="1"/>
  <c r="AO29" i="1"/>
  <c r="AK29" i="1"/>
  <c r="AF29" i="1"/>
  <c r="AC29" i="1"/>
  <c r="W29" i="1"/>
  <c r="P29" i="1"/>
  <c r="J29" i="1"/>
  <c r="AO3" i="1"/>
  <c r="AK3" i="1"/>
  <c r="AF3" i="1"/>
  <c r="AC3" i="1"/>
  <c r="W3" i="1"/>
  <c r="P3" i="1"/>
  <c r="J3" i="1"/>
  <c r="AO37" i="1"/>
  <c r="AK37" i="1"/>
  <c r="AF37" i="1"/>
  <c r="AC37" i="1"/>
  <c r="W37" i="1"/>
  <c r="P37" i="1"/>
  <c r="J37" i="1"/>
  <c r="AO34" i="1"/>
  <c r="AK34" i="1"/>
  <c r="AF34" i="1"/>
  <c r="AC34" i="1"/>
  <c r="W34" i="1"/>
  <c r="P34" i="1"/>
  <c r="J34" i="1"/>
  <c r="AO35" i="1"/>
  <c r="AK35" i="1"/>
  <c r="AF35" i="1"/>
  <c r="AC35" i="1"/>
  <c r="W35" i="1"/>
  <c r="P35" i="1"/>
  <c r="J35" i="1"/>
  <c r="AO36" i="1"/>
  <c r="AK36" i="1"/>
  <c r="AF36" i="1"/>
  <c r="AC36" i="1"/>
  <c r="W36" i="1"/>
  <c r="P36" i="1"/>
  <c r="J36" i="1"/>
  <c r="AO25" i="1"/>
  <c r="AK25" i="1"/>
  <c r="AF25" i="1"/>
  <c r="AC25" i="1"/>
  <c r="W25" i="1"/>
  <c r="P25" i="1"/>
  <c r="J25" i="1"/>
  <c r="AO45" i="1"/>
  <c r="AM45" i="1"/>
  <c r="AK45" i="1"/>
  <c r="AF45" i="1"/>
  <c r="AC45" i="1"/>
  <c r="W45" i="1"/>
  <c r="P45" i="1"/>
  <c r="J45" i="1"/>
  <c r="AR10" i="1" l="1"/>
  <c r="AM10" i="1"/>
  <c r="AR65" i="1"/>
  <c r="AM65" i="1"/>
  <c r="AR8" i="1"/>
  <c r="AM8" i="1"/>
  <c r="AR15" i="1"/>
  <c r="AM15" i="1"/>
  <c r="AR90" i="1"/>
  <c r="AM90" i="1"/>
  <c r="AR4" i="1"/>
  <c r="AM4" i="1"/>
  <c r="AR71" i="1"/>
  <c r="AM71" i="1"/>
  <c r="AR41" i="1"/>
  <c r="AM41" i="1"/>
  <c r="AR13" i="1"/>
  <c r="AM13" i="1"/>
  <c r="AR74" i="1"/>
  <c r="AM74" i="1"/>
  <c r="AR69" i="1"/>
  <c r="AM69" i="1"/>
  <c r="AR38" i="1"/>
  <c r="AM38" i="1"/>
  <c r="AR9" i="1"/>
  <c r="AM9" i="1"/>
  <c r="AR59" i="1"/>
  <c r="AM59" i="1"/>
  <c r="AR12" i="1"/>
  <c r="AM12" i="1"/>
  <c r="AR56" i="1"/>
  <c r="AM56" i="1"/>
  <c r="AR22" i="1"/>
  <c r="AM22" i="1"/>
  <c r="AR42" i="1"/>
  <c r="AM42" i="1"/>
  <c r="AR82" i="1"/>
  <c r="AM82" i="1"/>
  <c r="AR11" i="1"/>
  <c r="AM11" i="1"/>
  <c r="AR67" i="1"/>
  <c r="AM67" i="1"/>
  <c r="AR53" i="1"/>
  <c r="AM53" i="1"/>
  <c r="AR85" i="1"/>
  <c r="AM85" i="1"/>
  <c r="AR31" i="1"/>
  <c r="AM31" i="1"/>
  <c r="AR26" i="1"/>
  <c r="AM26" i="1"/>
  <c r="AR18" i="1"/>
  <c r="AM18" i="1"/>
  <c r="AR35" i="1"/>
  <c r="AM35" i="1"/>
  <c r="AR34" i="1"/>
  <c r="AM34" i="1"/>
  <c r="AR37" i="1"/>
  <c r="AM37" i="1"/>
  <c r="AR3" i="1"/>
  <c r="AM3" i="1"/>
  <c r="AR39" i="1"/>
  <c r="AM39" i="1"/>
  <c r="AM30" i="1"/>
  <c r="AM91" i="1"/>
  <c r="AM58" i="1"/>
  <c r="AM32" i="1"/>
  <c r="AM57" i="1"/>
  <c r="AM61" i="1"/>
  <c r="AM87" i="1"/>
  <c r="AM52" i="1"/>
  <c r="AM54" i="1"/>
  <c r="AM73" i="1"/>
  <c r="AM44" i="1"/>
  <c r="AR44" i="1"/>
  <c r="AM16" i="1"/>
  <c r="AR16" i="1"/>
  <c r="AM75" i="1"/>
  <c r="AR75" i="1"/>
  <c r="AM86" i="1"/>
  <c r="AR86" i="1"/>
  <c r="AM66" i="1"/>
  <c r="AR66" i="1"/>
  <c r="AM47" i="1"/>
  <c r="AR47" i="1"/>
  <c r="AM46" i="1"/>
  <c r="AR46" i="1"/>
  <c r="AM2" i="1"/>
  <c r="AR2" i="1"/>
  <c r="AM6" i="1"/>
  <c r="AR6" i="1"/>
  <c r="AM36" i="1"/>
  <c r="AR36" i="1"/>
  <c r="AM78" i="1"/>
  <c r="AR78" i="1"/>
  <c r="AM48" i="1"/>
  <c r="AR48" i="1"/>
  <c r="AM63" i="1"/>
  <c r="AR63" i="1"/>
  <c r="AM60" i="1"/>
  <c r="AR60" i="1"/>
  <c r="AM89" i="1"/>
  <c r="AR89" i="1"/>
  <c r="AM76" i="1"/>
  <c r="AR76" i="1"/>
  <c r="AM33" i="1"/>
  <c r="AR33" i="1"/>
  <c r="AM70" i="1"/>
  <c r="AR70" i="1"/>
  <c r="AM68" i="1"/>
  <c r="AR68" i="1"/>
  <c r="AM40" i="1"/>
  <c r="AR40" i="1"/>
  <c r="AM25" i="1"/>
  <c r="AR25" i="1"/>
  <c r="AM17" i="1"/>
  <c r="AM77" i="1"/>
  <c r="AM55" i="1"/>
  <c r="AM79" i="1"/>
  <c r="AR79" i="1"/>
  <c r="AM83" i="1"/>
  <c r="AR83" i="1"/>
  <c r="AM88" i="1"/>
  <c r="AR88" i="1"/>
  <c r="AM80" i="1"/>
  <c r="AR80" i="1"/>
  <c r="AM14" i="1"/>
  <c r="AR14" i="1"/>
  <c r="AM84" i="1"/>
  <c r="AR84" i="1"/>
  <c r="AM5" i="1"/>
  <c r="AR5" i="1"/>
  <c r="AM20" i="1"/>
  <c r="AR20" i="1"/>
  <c r="AM27" i="1"/>
  <c r="AR27" i="1"/>
  <c r="AM72" i="1"/>
  <c r="AR72" i="1"/>
  <c r="AM24" i="1"/>
  <c r="AR24" i="1"/>
  <c r="AM81" i="1"/>
  <c r="AR81" i="1"/>
  <c r="AM49" i="1"/>
  <c r="AR49" i="1"/>
  <c r="AM51" i="1"/>
  <c r="AR51" i="1"/>
  <c r="AM64" i="1"/>
  <c r="AR64" i="1"/>
  <c r="AM23" i="1"/>
  <c r="AR23" i="1"/>
  <c r="AM62" i="1"/>
  <c r="AR62" i="1"/>
  <c r="AM19" i="1"/>
  <c r="AR19" i="1"/>
  <c r="AM28" i="1"/>
  <c r="AR28" i="1"/>
  <c r="AM29" i="1"/>
  <c r="AR29" i="1"/>
</calcChain>
</file>

<file path=xl/sharedStrings.xml><?xml version="1.0" encoding="utf-8"?>
<sst xmlns="http://schemas.openxmlformats.org/spreadsheetml/2006/main" count="404" uniqueCount="107">
  <si>
    <t>Row</t>
  </si>
  <si>
    <t>Column</t>
  </si>
  <si>
    <t>Plot</t>
  </si>
  <si>
    <t>Rep</t>
  </si>
  <si>
    <t>Genotype</t>
  </si>
  <si>
    <t>Plot_ID</t>
  </si>
  <si>
    <t>Sow</t>
  </si>
  <si>
    <t>apf1</t>
  </si>
  <si>
    <t>apf2</t>
  </si>
  <si>
    <t>apf3</t>
  </si>
  <si>
    <t>apf4</t>
  </si>
  <si>
    <t>apf5</t>
  </si>
  <si>
    <t>R7</t>
  </si>
  <si>
    <t>hfp1</t>
  </si>
  <si>
    <t>hfp2</t>
  </si>
  <si>
    <t>hfp3</t>
  </si>
  <si>
    <t>hfp4</t>
  </si>
  <si>
    <t>hfp5</t>
  </si>
  <si>
    <t>apm1</t>
  </si>
  <si>
    <t>apm2</t>
  </si>
  <si>
    <t>apm3</t>
  </si>
  <si>
    <t>apm4</t>
  </si>
  <si>
    <t>apm5</t>
  </si>
  <si>
    <t>G02</t>
  </si>
  <si>
    <t>G24</t>
  </si>
  <si>
    <t>G27</t>
  </si>
  <si>
    <t>G19</t>
  </si>
  <si>
    <t>G13</t>
  </si>
  <si>
    <t>G20</t>
  </si>
  <si>
    <t>G28</t>
  </si>
  <si>
    <t>G23</t>
  </si>
  <si>
    <t>G04</t>
  </si>
  <si>
    <t>G03</t>
  </si>
  <si>
    <t>G06</t>
  </si>
  <si>
    <t>G21</t>
  </si>
  <si>
    <t>G15</t>
  </si>
  <si>
    <t>G12</t>
  </si>
  <si>
    <t>G05</t>
  </si>
  <si>
    <t>G26</t>
  </si>
  <si>
    <t>G07</t>
  </si>
  <si>
    <t>G08</t>
  </si>
  <si>
    <t>G01</t>
  </si>
  <si>
    <t>G18</t>
  </si>
  <si>
    <t>G29</t>
  </si>
  <si>
    <t>G11</t>
  </si>
  <si>
    <t>G14</t>
  </si>
  <si>
    <t>G09</t>
  </si>
  <si>
    <t>G22</t>
  </si>
  <si>
    <t>G17</t>
  </si>
  <si>
    <t>G10</t>
  </si>
  <si>
    <t>G30</t>
  </si>
  <si>
    <t>G25</t>
  </si>
  <si>
    <t>G16</t>
  </si>
  <si>
    <t>FlowerColor</t>
  </si>
  <si>
    <t>DateFlowering</t>
  </si>
  <si>
    <t>NDF</t>
  </si>
  <si>
    <t>PHF</t>
  </si>
  <si>
    <t>HFP</t>
  </si>
  <si>
    <t>PHM</t>
  </si>
  <si>
    <t>PodColor</t>
  </si>
  <si>
    <t xml:space="preserve">DateMaturity </t>
  </si>
  <si>
    <t>NDM</t>
  </si>
  <si>
    <t>LOD</t>
  </si>
  <si>
    <t>AV</t>
  </si>
  <si>
    <t>Prod</t>
  </si>
  <si>
    <t>Moisture</t>
  </si>
  <si>
    <t>GY</t>
  </si>
  <si>
    <t>GYt</t>
  </si>
  <si>
    <t>w100s</t>
  </si>
  <si>
    <t>W100S</t>
  </si>
  <si>
    <t>hsw</t>
  </si>
  <si>
    <t>HSW</t>
  </si>
  <si>
    <t>TOL</t>
  </si>
  <si>
    <t>AS3730</t>
  </si>
  <si>
    <t>BRS284</t>
  </si>
  <si>
    <t>BRS391</t>
  </si>
  <si>
    <t>FIBRA</t>
  </si>
  <si>
    <t>LQ005</t>
  </si>
  <si>
    <t>LQ008</t>
  </si>
  <si>
    <t>LQ018</t>
  </si>
  <si>
    <t>LQ050</t>
  </si>
  <si>
    <t>LQ073</t>
  </si>
  <si>
    <t>LQ155</t>
  </si>
  <si>
    <t>LQ173</t>
  </si>
  <si>
    <t>LQ174</t>
  </si>
  <si>
    <t>LQ175</t>
  </si>
  <si>
    <t>LQ197</t>
  </si>
  <si>
    <t>LQ198</t>
  </si>
  <si>
    <t>LQ215</t>
  </si>
  <si>
    <t>LQ216</t>
  </si>
  <si>
    <t>LQ239</t>
  </si>
  <si>
    <t>LQ250</t>
  </si>
  <si>
    <t>LQ267</t>
  </si>
  <si>
    <t>LQ269</t>
  </si>
  <si>
    <t>NS6700</t>
  </si>
  <si>
    <t>RIL072</t>
  </si>
  <si>
    <t>RIL109</t>
  </si>
  <si>
    <t>RIL145</t>
  </si>
  <si>
    <t>RIL209</t>
  </si>
  <si>
    <t>RIL227</t>
  </si>
  <si>
    <t>RIL244</t>
  </si>
  <si>
    <t>T27_18</t>
  </si>
  <si>
    <t>USP190</t>
  </si>
  <si>
    <t>White</t>
  </si>
  <si>
    <t>Purple</t>
  </si>
  <si>
    <t>Gray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</si>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</sst>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2"/>
      <color theme="1"/>
      <name val="Aptos Narrow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1CEEE"/>
        <bgColor rgb="FFF1CEEE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9CA71"/>
        <bgColor rgb="FFE9CA71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" fontId="2" fillId="6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2" fillId="3" borderId="4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00"/>
  <sheetViews>
    <sheetView tabSelected="1" workbookViewId="0">
      <pane xSplit="5" topLeftCell="AL1" activePane="topRight" state="frozen"/>
      <selection pane="topRight" activeCell="AD38" sqref="AD38:AD91"/>
    </sheetView>
  </sheetViews>
  <sheetFormatPr defaultColWidth="11.19921875" defaultRowHeight="15" customHeight="1" x14ac:dyDescent="0.3"/>
  <cols>
    <col min="1" max="1" width="6.59765625" customWidth="1"/>
    <col min="2" max="2" width="10.3984375" customWidth="1"/>
    <col min="3" max="3" width="6.19921875" customWidth="1"/>
    <col min="4" max="4" width="7.3984375" customWidth="1"/>
    <col min="5" max="5" width="13.19921875" bestFit="1" customWidth="1"/>
    <col min="6" max="6" width="9" customWidth="1"/>
    <col min="7" max="7" width="10.09765625" customWidth="1"/>
    <col min="8" max="8" width="15.3984375" bestFit="1" customWidth="1"/>
    <col min="9" max="9" width="17.3984375" bestFit="1" customWidth="1"/>
    <col min="10" max="10" width="14" customWidth="1"/>
    <col min="11" max="15" width="5.796875" customWidth="1"/>
    <col min="16" max="16" width="13.09765625" customWidth="1"/>
    <col min="17" max="17" width="6.296875" customWidth="1"/>
    <col min="18" max="22" width="6.19921875" customWidth="1"/>
    <col min="23" max="23" width="10.59765625" customWidth="1"/>
    <col min="24" max="28" width="6.3984375" customWidth="1"/>
    <col min="29" max="29" width="13.3984375" customWidth="1"/>
    <col min="30" max="30" width="10.8984375" customWidth="1"/>
    <col min="31" max="31" width="13.59765625" bestFit="1" customWidth="1"/>
    <col min="32" max="32" width="14.59765625" customWidth="1"/>
    <col min="33" max="33" width="9.3984375" customWidth="1"/>
    <col min="34" max="34" width="11.59765625" customWidth="1"/>
    <col min="35" max="35" width="13" customWidth="1"/>
    <col min="36" max="36" width="10.59765625" customWidth="1"/>
    <col min="37" max="37" width="11.3984375" customWidth="1"/>
    <col min="38" max="38" width="11.19921875" customWidth="1"/>
    <col min="39" max="39" width="10.8984375" customWidth="1"/>
    <col min="40" max="41" width="13.59765625" customWidth="1"/>
    <col min="42" max="42" width="14.296875" customWidth="1"/>
    <col min="43" max="43" width="14.19921875" customWidth="1"/>
    <col min="44" max="44" width="12.19921875" customWidth="1"/>
  </cols>
  <sheetData>
    <row r="1" spans="1:44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</v>
      </c>
      <c r="I1" s="1" t="s">
        <v>54</v>
      </c>
      <c r="J1" s="1" t="s">
        <v>55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56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57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58</v>
      </c>
      <c r="AD1" s="1" t="s">
        <v>59</v>
      </c>
      <c r="AE1" s="1" t="s">
        <v>60</v>
      </c>
      <c r="AF1" s="1" t="s">
        <v>61</v>
      </c>
      <c r="AG1" s="2" t="s">
        <v>62</v>
      </c>
      <c r="AH1" s="3" t="s">
        <v>63</v>
      </c>
      <c r="AI1" s="3" t="s">
        <v>64</v>
      </c>
      <c r="AJ1" s="3" t="s">
        <v>65</v>
      </c>
      <c r="AK1" s="3" t="s">
        <v>64</v>
      </c>
      <c r="AL1" s="3" t="s">
        <v>66</v>
      </c>
      <c r="AM1" s="1" t="s">
        <v>67</v>
      </c>
      <c r="AN1" s="1" t="s">
        <v>68</v>
      </c>
      <c r="AO1" s="1" t="s">
        <v>69</v>
      </c>
      <c r="AP1" s="1" t="s">
        <v>70</v>
      </c>
      <c r="AQ1" s="1" t="s">
        <v>71</v>
      </c>
      <c r="AR1" s="1" t="s">
        <v>72</v>
      </c>
    </row>
    <row r="2" spans="1:44" ht="15.6" x14ac:dyDescent="0.3">
      <c r="A2" s="4">
        <v>1</v>
      </c>
      <c r="B2" s="4">
        <v>1</v>
      </c>
      <c r="C2" s="5">
        <v>1</v>
      </c>
      <c r="D2" s="4">
        <v>1</v>
      </c>
      <c r="E2" s="22" t="s">
        <v>84</v>
      </c>
      <c r="F2" s="4" t="s">
        <v>41</v>
      </c>
      <c r="G2" s="6">
        <v>45615</v>
      </c>
      <c r="H2" s="4" t="s">
        <v>103</v>
      </c>
      <c r="I2" s="6">
        <v>45668</v>
      </c>
      <c r="J2" s="4">
        <f>I2-G2</f>
        <v>53</v>
      </c>
      <c r="K2" s="4">
        <v>35</v>
      </c>
      <c r="L2" s="4">
        <v>60</v>
      </c>
      <c r="M2" s="4">
        <v>75</v>
      </c>
      <c r="N2" s="4">
        <v>73</v>
      </c>
      <c r="O2" s="4">
        <v>81</v>
      </c>
      <c r="P2" s="5">
        <f>AVERAGE(K2:O2)</f>
        <v>64.8</v>
      </c>
      <c r="Q2" s="8">
        <v>45718</v>
      </c>
      <c r="R2" s="4">
        <v>12</v>
      </c>
      <c r="S2" s="4">
        <v>11</v>
      </c>
      <c r="T2" s="4">
        <v>10</v>
      </c>
      <c r="U2" s="4">
        <v>14</v>
      </c>
      <c r="V2" s="4">
        <v>12</v>
      </c>
      <c r="W2" s="5">
        <f>AVERAGE(R2:V2)</f>
        <v>11.8</v>
      </c>
      <c r="X2" s="4">
        <v>79</v>
      </c>
      <c r="Y2" s="9">
        <v>78</v>
      </c>
      <c r="Z2" s="9">
        <v>80</v>
      </c>
      <c r="AA2" s="9">
        <v>70</v>
      </c>
      <c r="AB2" s="9">
        <v>83</v>
      </c>
      <c r="AC2" s="5">
        <f>AVERAGE(X2:AB2)</f>
        <v>78</v>
      </c>
      <c r="AD2" s="17" t="s">
        <v>106</v>
      </c>
      <c r="AE2" s="6">
        <v>45741</v>
      </c>
      <c r="AF2" s="4">
        <f>AE2-G2</f>
        <v>126</v>
      </c>
      <c r="AG2" s="4">
        <v>2</v>
      </c>
      <c r="AH2" s="4">
        <v>3</v>
      </c>
      <c r="AI2" s="11">
        <v>1.3939999999999999</v>
      </c>
      <c r="AJ2" s="12">
        <v>8.5</v>
      </c>
      <c r="AK2" s="13">
        <f>(AI2*((100-AJ2)/(100-13)))</f>
        <v>1.4661034482758619</v>
      </c>
      <c r="AL2" s="13">
        <f>(AI2*((100-AJ2)/(100-13))/5)*10000</f>
        <v>2932.2068965517237</v>
      </c>
      <c r="AM2" s="14">
        <f>AL2/1000</f>
        <v>2.9322068965517238</v>
      </c>
      <c r="AN2" s="13">
        <v>9.07</v>
      </c>
      <c r="AO2" s="13">
        <f>(AN2*((100-AJ2)/(100-13)))</f>
        <v>9.5391379310344835</v>
      </c>
      <c r="AP2" s="15">
        <v>0.85799999999999998</v>
      </c>
      <c r="AQ2" s="13">
        <f>(AP2*((100-AJ2)/(100-13))/5)*10000</f>
        <v>1804.7586206896551</v>
      </c>
      <c r="AR2" s="16">
        <f>((1-(AL2-AQ2)/AL2))</f>
        <v>0.61549497847919654</v>
      </c>
    </row>
    <row r="3" spans="1:44" ht="15.6" x14ac:dyDescent="0.3">
      <c r="A3" s="4">
        <v>2</v>
      </c>
      <c r="B3" s="4">
        <v>1</v>
      </c>
      <c r="C3" s="5">
        <v>2</v>
      </c>
      <c r="D3" s="4">
        <v>1</v>
      </c>
      <c r="E3" s="22" t="s">
        <v>73</v>
      </c>
      <c r="F3" s="4" t="s">
        <v>23</v>
      </c>
      <c r="G3" s="6">
        <v>45615</v>
      </c>
      <c r="H3" s="7" t="s">
        <v>104</v>
      </c>
      <c r="I3" s="6">
        <v>45659</v>
      </c>
      <c r="J3" s="4">
        <f>I3-G3</f>
        <v>44</v>
      </c>
      <c r="K3" s="4">
        <v>31</v>
      </c>
      <c r="L3" s="4">
        <v>40</v>
      </c>
      <c r="M3" s="4">
        <v>37</v>
      </c>
      <c r="N3" s="4">
        <v>31</v>
      </c>
      <c r="O3" s="4">
        <v>43</v>
      </c>
      <c r="P3" s="5">
        <f>AVERAGE(K3:O3)</f>
        <v>36.4</v>
      </c>
      <c r="Q3" s="8">
        <v>45721</v>
      </c>
      <c r="R3" s="4">
        <v>12</v>
      </c>
      <c r="S3" s="4">
        <v>13</v>
      </c>
      <c r="T3" s="4">
        <v>18</v>
      </c>
      <c r="U3" s="4">
        <v>19</v>
      </c>
      <c r="V3" s="4">
        <v>14</v>
      </c>
      <c r="W3" s="5">
        <f>AVERAGE(R3:V3)</f>
        <v>15.2</v>
      </c>
      <c r="X3" s="4">
        <v>78</v>
      </c>
      <c r="Y3" s="9">
        <v>76</v>
      </c>
      <c r="Z3" s="9">
        <v>72</v>
      </c>
      <c r="AA3" s="9">
        <v>88</v>
      </c>
      <c r="AB3" s="9">
        <v>103</v>
      </c>
      <c r="AC3" s="5">
        <f>AVERAGE(X3:AB3)</f>
        <v>83.4</v>
      </c>
      <c r="AD3" s="10" t="s">
        <v>105</v>
      </c>
      <c r="AE3" s="6">
        <v>45734</v>
      </c>
      <c r="AF3" s="4">
        <f>AE3-G3</f>
        <v>119</v>
      </c>
      <c r="AG3" s="4">
        <v>2</v>
      </c>
      <c r="AH3" s="4">
        <v>4</v>
      </c>
      <c r="AI3" s="11">
        <v>1.746</v>
      </c>
      <c r="AJ3" s="12">
        <v>7.9</v>
      </c>
      <c r="AK3" s="13">
        <f>(AI3*((100-AJ3)/(100-13)))</f>
        <v>1.848351724137931</v>
      </c>
      <c r="AL3" s="13">
        <f>(AI3*((100-AJ3)/(100-13))/5)*10000</f>
        <v>3696.7034482758622</v>
      </c>
      <c r="AM3" s="14">
        <f>AL3/1000</f>
        <v>3.6967034482758621</v>
      </c>
      <c r="AN3" s="13">
        <v>11.92</v>
      </c>
      <c r="AO3" s="13">
        <f>(AN3*((100-AJ3)/(100-13)))</f>
        <v>12.618758620689656</v>
      </c>
      <c r="AP3" s="15">
        <v>1.462</v>
      </c>
      <c r="AQ3" s="13">
        <f>(AP3*((100-AJ3)/(100-13))/5)*10000</f>
        <v>3095.406896551724</v>
      </c>
      <c r="AR3" s="16">
        <f>((1-(AL3-AQ3)/AL3))</f>
        <v>0.83734249713631148</v>
      </c>
    </row>
    <row r="4" spans="1:44" ht="15.6" x14ac:dyDescent="0.3">
      <c r="A4" s="4">
        <v>3</v>
      </c>
      <c r="B4" s="4">
        <v>1</v>
      </c>
      <c r="C4" s="5">
        <v>3</v>
      </c>
      <c r="D4" s="4">
        <v>1</v>
      </c>
      <c r="E4" s="22" t="s">
        <v>97</v>
      </c>
      <c r="F4" s="4" t="s">
        <v>32</v>
      </c>
      <c r="G4" s="6">
        <v>45615</v>
      </c>
      <c r="H4" s="4" t="s">
        <v>103</v>
      </c>
      <c r="I4" s="6">
        <v>45665</v>
      </c>
      <c r="J4" s="4">
        <f>I4-G4</f>
        <v>50</v>
      </c>
      <c r="K4" s="4">
        <v>40</v>
      </c>
      <c r="L4" s="4">
        <v>46</v>
      </c>
      <c r="M4" s="4">
        <v>50</v>
      </c>
      <c r="N4" s="4">
        <v>51</v>
      </c>
      <c r="O4" s="4">
        <v>47</v>
      </c>
      <c r="P4" s="5">
        <f>AVERAGE(K4:O4)</f>
        <v>46.8</v>
      </c>
      <c r="Q4" s="8">
        <v>45721</v>
      </c>
      <c r="R4" s="4">
        <v>8</v>
      </c>
      <c r="S4" s="4">
        <v>10</v>
      </c>
      <c r="T4" s="4">
        <v>11</v>
      </c>
      <c r="U4" s="4">
        <v>20</v>
      </c>
      <c r="V4" s="4">
        <v>10</v>
      </c>
      <c r="W4" s="5">
        <f>AVERAGE(R4:V4)</f>
        <v>11.8</v>
      </c>
      <c r="X4" s="4">
        <v>53</v>
      </c>
      <c r="Y4" s="9">
        <v>54</v>
      </c>
      <c r="Z4" s="9">
        <v>70</v>
      </c>
      <c r="AA4" s="9">
        <v>59</v>
      </c>
      <c r="AB4" s="9">
        <v>55</v>
      </c>
      <c r="AC4" s="5">
        <f>AVERAGE(X4:AB4)</f>
        <v>58.2</v>
      </c>
      <c r="AD4" s="17" t="s">
        <v>106</v>
      </c>
      <c r="AE4" s="6">
        <v>45730</v>
      </c>
      <c r="AF4" s="4">
        <f>AE4-G4</f>
        <v>115</v>
      </c>
      <c r="AG4" s="4">
        <v>3</v>
      </c>
      <c r="AH4" s="4">
        <v>3</v>
      </c>
      <c r="AI4" s="11">
        <v>1.704</v>
      </c>
      <c r="AJ4" s="12">
        <v>8.4</v>
      </c>
      <c r="AK4" s="13">
        <f>(AI4*((100-AJ4)/(100-13)))</f>
        <v>1.7940965517241378</v>
      </c>
      <c r="AL4" s="13">
        <f>(AI4*((100-AJ4)/(100-13))/5)*10000</f>
        <v>3588.1931034482755</v>
      </c>
      <c r="AM4" s="14">
        <f>AL4/1000</f>
        <v>3.5881931034482752</v>
      </c>
      <c r="AN4" s="13">
        <v>7.91</v>
      </c>
      <c r="AO4" s="13">
        <f>(AN4*((100-AJ4)/(100-13)))</f>
        <v>8.3282298850574712</v>
      </c>
      <c r="AP4" s="15">
        <v>1.4059999999999999</v>
      </c>
      <c r="AQ4" s="13">
        <f>(AP4*((100-AJ4)/(100-13))/5)*10000</f>
        <v>2960.6804597701148</v>
      </c>
      <c r="AR4" s="16">
        <f>((1-(AL4-AQ4)/AL4))</f>
        <v>0.82511737089201886</v>
      </c>
    </row>
    <row r="5" spans="1:44" ht="15.6" x14ac:dyDescent="0.3">
      <c r="A5" s="4">
        <v>4</v>
      </c>
      <c r="B5" s="4">
        <v>1</v>
      </c>
      <c r="C5" s="5">
        <v>4</v>
      </c>
      <c r="D5" s="4">
        <v>1</v>
      </c>
      <c r="E5" s="22" t="s">
        <v>76</v>
      </c>
      <c r="F5" s="4" t="s">
        <v>31</v>
      </c>
      <c r="G5" s="6">
        <v>45615</v>
      </c>
      <c r="H5" s="7" t="s">
        <v>104</v>
      </c>
      <c r="I5" s="6">
        <v>45663</v>
      </c>
      <c r="J5" s="4">
        <f>I5-G5</f>
        <v>48</v>
      </c>
      <c r="K5" s="4">
        <v>38</v>
      </c>
      <c r="L5" s="4">
        <v>33</v>
      </c>
      <c r="M5" s="4">
        <v>39</v>
      </c>
      <c r="N5" s="4">
        <v>32</v>
      </c>
      <c r="O5" s="4">
        <v>42</v>
      </c>
      <c r="P5" s="5">
        <f>AVERAGE(K5:O5)</f>
        <v>36.799999999999997</v>
      </c>
      <c r="Q5" s="8">
        <v>45721</v>
      </c>
      <c r="R5" s="4">
        <v>12</v>
      </c>
      <c r="S5" s="4">
        <v>10</v>
      </c>
      <c r="T5" s="4">
        <v>17</v>
      </c>
      <c r="U5" s="4">
        <v>6</v>
      </c>
      <c r="V5" s="4">
        <v>7</v>
      </c>
      <c r="W5" s="5">
        <f>AVERAGE(R5:V5)</f>
        <v>10.4</v>
      </c>
      <c r="X5" s="4">
        <v>70</v>
      </c>
      <c r="Y5" s="9">
        <v>75</v>
      </c>
      <c r="Z5" s="9">
        <v>64</v>
      </c>
      <c r="AA5" s="9">
        <v>58</v>
      </c>
      <c r="AB5" s="9">
        <v>67</v>
      </c>
      <c r="AC5" s="5">
        <f>AVERAGE(X5:AB5)</f>
        <v>66.8</v>
      </c>
      <c r="AD5" s="10" t="s">
        <v>105</v>
      </c>
      <c r="AE5" s="6">
        <v>45730</v>
      </c>
      <c r="AF5" s="4">
        <f>AE5-G5</f>
        <v>115</v>
      </c>
      <c r="AG5" s="4">
        <v>2</v>
      </c>
      <c r="AH5" s="4">
        <v>3</v>
      </c>
      <c r="AI5" s="11">
        <v>1.226</v>
      </c>
      <c r="AJ5" s="12">
        <v>8</v>
      </c>
      <c r="AK5" s="13">
        <f>(AI5*((100-AJ5)/(100-13)))</f>
        <v>1.2964597701149425</v>
      </c>
      <c r="AL5" s="13">
        <f>(AI5*((100-AJ5)/(100-13))/5)*10000</f>
        <v>2592.9195402298851</v>
      </c>
      <c r="AM5" s="14">
        <f>AL5/1000</f>
        <v>2.592919540229885</v>
      </c>
      <c r="AN5" s="13">
        <v>11.41</v>
      </c>
      <c r="AO5" s="13">
        <f>(AN5*((100-AJ5)/(100-13)))</f>
        <v>12.065747126436783</v>
      </c>
      <c r="AP5" s="15">
        <v>0.83199999999999996</v>
      </c>
      <c r="AQ5" s="13">
        <f>(AP5*((100-AJ5)/(100-13))/5)*10000</f>
        <v>1759.6321839080458</v>
      </c>
      <c r="AR5" s="16">
        <f>((1-(AL5-AQ5)/AL5))</f>
        <v>0.67862969004893958</v>
      </c>
    </row>
    <row r="6" spans="1:44" ht="15.6" x14ac:dyDescent="0.3">
      <c r="A6" s="4">
        <v>5</v>
      </c>
      <c r="B6" s="4">
        <v>1</v>
      </c>
      <c r="C6" s="5">
        <v>5</v>
      </c>
      <c r="D6" s="4">
        <v>1</v>
      </c>
      <c r="E6" s="22" t="s">
        <v>83</v>
      </c>
      <c r="F6" s="4" t="s">
        <v>37</v>
      </c>
      <c r="G6" s="6">
        <v>45615</v>
      </c>
      <c r="H6" s="4" t="s">
        <v>103</v>
      </c>
      <c r="I6" s="6">
        <v>45668</v>
      </c>
      <c r="J6" s="4">
        <f>I6-G6</f>
        <v>53</v>
      </c>
      <c r="K6" s="4">
        <v>72</v>
      </c>
      <c r="L6" s="4">
        <v>72</v>
      </c>
      <c r="M6" s="4">
        <v>70</v>
      </c>
      <c r="N6" s="4">
        <v>58</v>
      </c>
      <c r="O6" s="4">
        <v>64</v>
      </c>
      <c r="P6" s="5">
        <f>AVERAGE(K6:O6)</f>
        <v>67.2</v>
      </c>
      <c r="Q6" s="8">
        <v>45727</v>
      </c>
      <c r="R6" s="4">
        <v>15</v>
      </c>
      <c r="S6" s="4">
        <v>13</v>
      </c>
      <c r="T6" s="4">
        <v>15</v>
      </c>
      <c r="U6" s="4">
        <v>16</v>
      </c>
      <c r="V6" s="4">
        <v>15</v>
      </c>
      <c r="W6" s="5">
        <f>AVERAGE(R6:V6)</f>
        <v>14.8</v>
      </c>
      <c r="X6" s="4">
        <v>60</v>
      </c>
      <c r="Y6" s="9">
        <v>83</v>
      </c>
      <c r="Z6" s="9">
        <v>76</v>
      </c>
      <c r="AA6" s="9">
        <v>88</v>
      </c>
      <c r="AB6" s="9">
        <v>76</v>
      </c>
      <c r="AC6" s="5">
        <f>AVERAGE(X6:AB6)</f>
        <v>76.599999999999994</v>
      </c>
      <c r="AD6" s="10" t="s">
        <v>105</v>
      </c>
      <c r="AE6" s="6">
        <v>45730</v>
      </c>
      <c r="AF6" s="4">
        <f>AE6-G6</f>
        <v>115</v>
      </c>
      <c r="AG6" s="4">
        <v>3</v>
      </c>
      <c r="AH6" s="4">
        <v>4</v>
      </c>
      <c r="AI6" s="11">
        <v>1.484</v>
      </c>
      <c r="AJ6" s="12">
        <v>9</v>
      </c>
      <c r="AK6" s="13">
        <f>(AI6*((100-AJ6)/(100-13)))</f>
        <v>1.5522298850574712</v>
      </c>
      <c r="AL6" s="13">
        <f>(AI6*((100-AJ6)/(100-13))/5)*10000</f>
        <v>3104.4597701149423</v>
      </c>
      <c r="AM6" s="14">
        <f>AL6/1000</f>
        <v>3.1044597701149423</v>
      </c>
      <c r="AN6" s="13">
        <v>9.0399999999999991</v>
      </c>
      <c r="AO6" s="13">
        <f>(AN6*((100-AJ6)/(100-13)))</f>
        <v>9.4556321839080439</v>
      </c>
      <c r="AP6" s="15">
        <v>1.0840000000000001</v>
      </c>
      <c r="AQ6" s="13">
        <f>(AP6*((100-AJ6)/(100-13))/5)*10000</f>
        <v>2267.6781609195405</v>
      </c>
      <c r="AR6" s="16">
        <f>((1-(AL6-AQ6)/AL6))</f>
        <v>0.73045822102425895</v>
      </c>
    </row>
    <row r="7" spans="1:44" ht="15.6" x14ac:dyDescent="0.3">
      <c r="A7" s="4">
        <v>6</v>
      </c>
      <c r="B7" s="4">
        <v>1</v>
      </c>
      <c r="C7" s="5">
        <v>6</v>
      </c>
      <c r="D7" s="4">
        <v>1</v>
      </c>
      <c r="E7" s="22" t="s">
        <v>101</v>
      </c>
      <c r="F7" s="4" t="s">
        <v>33</v>
      </c>
      <c r="G7" s="6">
        <v>45615</v>
      </c>
      <c r="H7" s="4" t="s">
        <v>103</v>
      </c>
      <c r="I7" s="6">
        <v>45670</v>
      </c>
      <c r="J7" s="4">
        <f>I7-G7</f>
        <v>55</v>
      </c>
      <c r="K7" s="4">
        <v>55</v>
      </c>
      <c r="L7" s="4">
        <v>61</v>
      </c>
      <c r="M7" s="4">
        <v>57</v>
      </c>
      <c r="N7" s="4">
        <v>51</v>
      </c>
      <c r="O7" s="4">
        <v>50</v>
      </c>
      <c r="P7" s="5">
        <f>AVERAGE(K7:O7)</f>
        <v>54.8</v>
      </c>
      <c r="Q7" s="8">
        <v>45727</v>
      </c>
      <c r="R7" s="4">
        <v>18</v>
      </c>
      <c r="S7" s="4">
        <v>8</v>
      </c>
      <c r="T7" s="4">
        <v>7</v>
      </c>
      <c r="U7" s="4">
        <v>7</v>
      </c>
      <c r="V7" s="4">
        <v>10</v>
      </c>
      <c r="W7" s="5">
        <f>AVERAGE(R7:V7)</f>
        <v>10</v>
      </c>
      <c r="X7" s="4">
        <v>67</v>
      </c>
      <c r="Y7" s="9">
        <v>64</v>
      </c>
      <c r="Z7" s="9">
        <v>65</v>
      </c>
      <c r="AA7" s="9">
        <v>67</v>
      </c>
      <c r="AB7" s="9">
        <v>62</v>
      </c>
      <c r="AC7" s="5">
        <f>AVERAGE(X7:AB7)</f>
        <v>65</v>
      </c>
      <c r="AD7" s="17" t="s">
        <v>106</v>
      </c>
      <c r="AE7" s="6">
        <v>45740</v>
      </c>
      <c r="AF7" s="4">
        <f>AE7-G7</f>
        <v>125</v>
      </c>
      <c r="AG7" s="4">
        <v>2</v>
      </c>
      <c r="AH7" s="4">
        <v>3</v>
      </c>
      <c r="AI7" s="11">
        <v>1.444</v>
      </c>
      <c r="AJ7" s="12">
        <v>8.3000000000000007</v>
      </c>
      <c r="AK7" s="13">
        <f>(AI7*((100-AJ7)/(100-13)))</f>
        <v>1.5220091954022987</v>
      </c>
      <c r="AL7" s="13">
        <f>(AI7*((100-AJ7)/(100-13))/5)*10000</f>
        <v>3044.0183908045974</v>
      </c>
      <c r="AM7" s="14">
        <f>AL7/1000</f>
        <v>3.0440183908045975</v>
      </c>
      <c r="AN7" s="13">
        <v>10.71</v>
      </c>
      <c r="AO7" s="13">
        <f>(AN7*((100-AJ7)/(100-13)))</f>
        <v>11.288586206896552</v>
      </c>
      <c r="AP7" s="15">
        <v>0.83199999999999996</v>
      </c>
      <c r="AQ7" s="13">
        <f>(AP7*((100-AJ7)/(100-13))/5)*10000</f>
        <v>1753.8942528735629</v>
      </c>
      <c r="AR7" s="16">
        <f>((1-(AL7-AQ7)/AL7))</f>
        <v>0.5761772853185595</v>
      </c>
    </row>
    <row r="8" spans="1:44" ht="15.6" x14ac:dyDescent="0.3">
      <c r="A8" s="4">
        <v>7</v>
      </c>
      <c r="B8" s="4">
        <v>1</v>
      </c>
      <c r="C8" s="5">
        <v>7</v>
      </c>
      <c r="D8" s="4">
        <v>1</v>
      </c>
      <c r="E8" s="22" t="s">
        <v>92</v>
      </c>
      <c r="F8" s="4" t="s">
        <v>39</v>
      </c>
      <c r="G8" s="6">
        <v>45615</v>
      </c>
      <c r="H8" s="4" t="s">
        <v>103</v>
      </c>
      <c r="I8" s="6">
        <v>45668</v>
      </c>
      <c r="J8" s="4">
        <f>I8-G8</f>
        <v>53</v>
      </c>
      <c r="K8" s="4">
        <v>69</v>
      </c>
      <c r="L8" s="4">
        <v>58</v>
      </c>
      <c r="M8" s="4">
        <v>65</v>
      </c>
      <c r="N8" s="4">
        <v>71</v>
      </c>
      <c r="O8" s="4">
        <v>68</v>
      </c>
      <c r="P8" s="5">
        <f>AVERAGE(K8:O8)</f>
        <v>66.2</v>
      </c>
      <c r="Q8" s="8">
        <v>45739</v>
      </c>
      <c r="R8" s="4">
        <v>8</v>
      </c>
      <c r="S8" s="4">
        <v>11</v>
      </c>
      <c r="T8" s="4">
        <v>8</v>
      </c>
      <c r="U8" s="4">
        <v>7</v>
      </c>
      <c r="V8" s="4">
        <v>15</v>
      </c>
      <c r="W8" s="5">
        <f>AVERAGE(R8:V8)</f>
        <v>9.8000000000000007</v>
      </c>
      <c r="X8" s="4">
        <v>84</v>
      </c>
      <c r="Y8" s="9">
        <v>70</v>
      </c>
      <c r="Z8" s="9">
        <v>54</v>
      </c>
      <c r="AA8" s="9">
        <v>76</v>
      </c>
      <c r="AB8" s="9">
        <v>80</v>
      </c>
      <c r="AC8" s="5">
        <f>AVERAGE(X8:AB8)</f>
        <v>72.8</v>
      </c>
      <c r="AD8" s="17" t="s">
        <v>106</v>
      </c>
      <c r="AE8" s="6">
        <v>45740</v>
      </c>
      <c r="AF8" s="4">
        <f>AE8-G8</f>
        <v>125</v>
      </c>
      <c r="AG8" s="4">
        <v>2</v>
      </c>
      <c r="AH8" s="4">
        <v>2</v>
      </c>
      <c r="AI8" s="11">
        <v>1.0620000000000001</v>
      </c>
      <c r="AJ8" s="12">
        <v>9.1999999999999993</v>
      </c>
      <c r="AK8" s="13">
        <f>(AI8*((100-AJ8)/(100-13)))</f>
        <v>1.1083862068965518</v>
      </c>
      <c r="AL8" s="13">
        <f>(AI8*((100-AJ8)/(100-13))/5)*10000</f>
        <v>2216.7724137931036</v>
      </c>
      <c r="AM8" s="14">
        <f>AL8/1000</f>
        <v>2.2167724137931035</v>
      </c>
      <c r="AN8" s="13">
        <v>8.7899999999999991</v>
      </c>
      <c r="AO8" s="13">
        <f>(AN8*((100-AJ8)/(100-13)))</f>
        <v>9.1739310344827576</v>
      </c>
      <c r="AP8" s="15">
        <v>0.69799999999999995</v>
      </c>
      <c r="AQ8" s="13">
        <f>(AP8*((100-AJ8)/(100-13))/5)*10000</f>
        <v>1456.974712643678</v>
      </c>
      <c r="AR8" s="16">
        <f>((1-(AL8-AQ8)/AL8))</f>
        <v>0.65725047080979271</v>
      </c>
    </row>
    <row r="9" spans="1:44" ht="15.6" x14ac:dyDescent="0.3">
      <c r="A9" s="4">
        <v>8</v>
      </c>
      <c r="B9" s="4">
        <v>1</v>
      </c>
      <c r="C9" s="5">
        <v>8</v>
      </c>
      <c r="D9" s="4">
        <v>1</v>
      </c>
      <c r="E9" s="22" t="s">
        <v>74</v>
      </c>
      <c r="F9" s="4" t="s">
        <v>40</v>
      </c>
      <c r="G9" s="6">
        <v>45615</v>
      </c>
      <c r="H9" s="7" t="s">
        <v>104</v>
      </c>
      <c r="I9" s="6">
        <v>45651</v>
      </c>
      <c r="J9" s="4">
        <f>I9-G9</f>
        <v>36</v>
      </c>
      <c r="K9" s="4">
        <v>26</v>
      </c>
      <c r="L9" s="4">
        <v>21</v>
      </c>
      <c r="M9" s="4">
        <v>20</v>
      </c>
      <c r="N9" s="4">
        <v>31</v>
      </c>
      <c r="O9" s="4">
        <v>22</v>
      </c>
      <c r="P9" s="5">
        <f>AVERAGE(K9:O9)</f>
        <v>24</v>
      </c>
      <c r="Q9" s="8">
        <v>45716</v>
      </c>
      <c r="R9" s="4">
        <v>9</v>
      </c>
      <c r="S9" s="4">
        <v>6</v>
      </c>
      <c r="T9" s="4">
        <v>11</v>
      </c>
      <c r="U9" s="4">
        <v>12</v>
      </c>
      <c r="V9" s="4">
        <v>8</v>
      </c>
      <c r="W9" s="5">
        <f>AVERAGE(R9:V9)</f>
        <v>9.1999999999999993</v>
      </c>
      <c r="X9" s="4">
        <v>100</v>
      </c>
      <c r="Y9" s="9">
        <v>78</v>
      </c>
      <c r="Z9" s="9">
        <v>95</v>
      </c>
      <c r="AA9" s="9">
        <v>89</v>
      </c>
      <c r="AB9" s="9">
        <v>91</v>
      </c>
      <c r="AC9" s="5">
        <f>AVERAGE(X9:AB9)</f>
        <v>90.6</v>
      </c>
      <c r="AD9" s="10" t="s">
        <v>105</v>
      </c>
      <c r="AE9" s="6">
        <v>45727</v>
      </c>
      <c r="AF9" s="4">
        <f>AE9-G9</f>
        <v>112</v>
      </c>
      <c r="AG9" s="4">
        <v>2</v>
      </c>
      <c r="AH9" s="4">
        <v>3</v>
      </c>
      <c r="AI9" s="11">
        <v>1.3080000000000001</v>
      </c>
      <c r="AJ9" s="12">
        <v>8.3000000000000007</v>
      </c>
      <c r="AK9" s="13">
        <f>(AI9*((100-AJ9)/(100-13)))</f>
        <v>1.3786620689655171</v>
      </c>
      <c r="AL9" s="13">
        <f>(AI9*((100-AJ9)/(100-13))/5)*10000</f>
        <v>2757.3241379310343</v>
      </c>
      <c r="AM9" s="14">
        <f>AL9/1000</f>
        <v>2.7573241379310343</v>
      </c>
      <c r="AN9" s="13">
        <v>11.92</v>
      </c>
      <c r="AO9" s="13">
        <f>(AN9*((100-AJ9)/(100-13)))</f>
        <v>12.563954022988504</v>
      </c>
      <c r="AP9" s="15">
        <v>0.94599999999999995</v>
      </c>
      <c r="AQ9" s="13">
        <f>(AP9*((100-AJ9)/(100-13))/5)*10000</f>
        <v>1994.2114942528733</v>
      </c>
      <c r="AR9" s="16">
        <f>((1-(AL9-AQ9)/AL9))</f>
        <v>0.7232415902140672</v>
      </c>
    </row>
    <row r="10" spans="1:44" ht="15.6" x14ac:dyDescent="0.3">
      <c r="A10" s="4">
        <v>9</v>
      </c>
      <c r="B10" s="4">
        <v>1</v>
      </c>
      <c r="C10" s="5">
        <v>9</v>
      </c>
      <c r="D10" s="4">
        <v>1</v>
      </c>
      <c r="E10" s="22" t="s">
        <v>98</v>
      </c>
      <c r="F10" s="4" t="s">
        <v>46</v>
      </c>
      <c r="G10" s="6">
        <v>45615</v>
      </c>
      <c r="H10" s="4" t="s">
        <v>103</v>
      </c>
      <c r="I10" s="6">
        <v>45669</v>
      </c>
      <c r="J10" s="4">
        <f>I10-G10</f>
        <v>54</v>
      </c>
      <c r="K10" s="4">
        <v>56</v>
      </c>
      <c r="L10" s="4">
        <v>59</v>
      </c>
      <c r="M10" s="4">
        <v>63</v>
      </c>
      <c r="N10" s="4">
        <v>50</v>
      </c>
      <c r="O10" s="4">
        <v>61</v>
      </c>
      <c r="P10" s="5">
        <f>AVERAGE(K10:O10)</f>
        <v>57.8</v>
      </c>
      <c r="Q10" s="8">
        <v>45721</v>
      </c>
      <c r="R10" s="4">
        <v>10</v>
      </c>
      <c r="S10" s="4">
        <v>7</v>
      </c>
      <c r="T10" s="4">
        <v>25</v>
      </c>
      <c r="U10" s="4">
        <v>6</v>
      </c>
      <c r="V10" s="4">
        <v>14</v>
      </c>
      <c r="W10" s="5">
        <f>AVERAGE(R10:V10)</f>
        <v>12.4</v>
      </c>
      <c r="X10" s="4">
        <v>59</v>
      </c>
      <c r="Y10" s="9">
        <v>67</v>
      </c>
      <c r="Z10" s="9">
        <v>63</v>
      </c>
      <c r="AA10" s="9">
        <v>58</v>
      </c>
      <c r="AB10" s="9">
        <v>48</v>
      </c>
      <c r="AC10" s="5">
        <f>AVERAGE(X10:AB10)</f>
        <v>59</v>
      </c>
      <c r="AD10" s="17" t="s">
        <v>106</v>
      </c>
      <c r="AE10" s="6">
        <v>45734</v>
      </c>
      <c r="AF10" s="4">
        <f>AE10-G10</f>
        <v>119</v>
      </c>
      <c r="AG10" s="4">
        <v>2</v>
      </c>
      <c r="AH10" s="4">
        <v>3</v>
      </c>
      <c r="AI10" s="11">
        <v>1.1160000000000001</v>
      </c>
      <c r="AJ10" s="12">
        <v>8.3000000000000007</v>
      </c>
      <c r="AK10" s="13">
        <f>(AI10*((100-AJ10)/(100-13)))</f>
        <v>1.1762896551724138</v>
      </c>
      <c r="AL10" s="13">
        <f>(AI10*((100-AJ10)/(100-13))/5)*10000</f>
        <v>2352.5793103448277</v>
      </c>
      <c r="AM10" s="14">
        <f>AL10/1000</f>
        <v>2.3525793103448276</v>
      </c>
      <c r="AN10" s="13">
        <v>9.64</v>
      </c>
      <c r="AO10" s="13">
        <f>(AN10*((100-AJ10)/(100-13)))</f>
        <v>10.160781609195402</v>
      </c>
      <c r="AP10" s="15">
        <v>1.004</v>
      </c>
      <c r="AQ10" s="13">
        <f>(AP10*((100-AJ10)/(100-13))/5)*10000</f>
        <v>2116.4781609195402</v>
      </c>
      <c r="AR10" s="16">
        <f>((1-(AL10-AQ10)/AL10))</f>
        <v>0.89964157706093184</v>
      </c>
    </row>
    <row r="11" spans="1:44" ht="15.6" x14ac:dyDescent="0.3">
      <c r="A11" s="4">
        <v>10</v>
      </c>
      <c r="B11" s="4">
        <v>1</v>
      </c>
      <c r="C11" s="5">
        <v>10</v>
      </c>
      <c r="D11" s="4">
        <v>1</v>
      </c>
      <c r="E11" s="22" t="s">
        <v>99</v>
      </c>
      <c r="F11" s="4" t="s">
        <v>49</v>
      </c>
      <c r="G11" s="6">
        <v>45615</v>
      </c>
      <c r="H11" s="7" t="s">
        <v>104</v>
      </c>
      <c r="I11" s="6">
        <v>45669</v>
      </c>
      <c r="J11" s="4">
        <f>I11-G11</f>
        <v>54</v>
      </c>
      <c r="K11" s="4">
        <v>55</v>
      </c>
      <c r="L11" s="4">
        <v>62</v>
      </c>
      <c r="M11" s="4">
        <v>38</v>
      </c>
      <c r="N11" s="4">
        <v>54</v>
      </c>
      <c r="O11" s="4">
        <v>40</v>
      </c>
      <c r="P11" s="5">
        <f>AVERAGE(K11:O11)</f>
        <v>49.8</v>
      </c>
      <c r="Q11" s="8">
        <v>45721</v>
      </c>
      <c r="R11" s="4">
        <v>5</v>
      </c>
      <c r="S11" s="4">
        <v>7</v>
      </c>
      <c r="T11" s="4">
        <v>13</v>
      </c>
      <c r="U11" s="4">
        <v>7</v>
      </c>
      <c r="V11" s="4">
        <v>6</v>
      </c>
      <c r="W11" s="5">
        <f>AVERAGE(R11:V11)</f>
        <v>7.6</v>
      </c>
      <c r="X11" s="4">
        <v>52</v>
      </c>
      <c r="Y11" s="9">
        <v>47</v>
      </c>
      <c r="Z11" s="9">
        <v>67</v>
      </c>
      <c r="AA11" s="9">
        <v>68</v>
      </c>
      <c r="AB11" s="9">
        <v>46</v>
      </c>
      <c r="AC11" s="5">
        <f>AVERAGE(X11:AB11)</f>
        <v>56</v>
      </c>
      <c r="AD11" s="17" t="s">
        <v>106</v>
      </c>
      <c r="AE11" s="6">
        <v>45734</v>
      </c>
      <c r="AF11" s="4">
        <f>AE11-G11</f>
        <v>119</v>
      </c>
      <c r="AG11" s="4">
        <v>2</v>
      </c>
      <c r="AH11" s="4">
        <v>3</v>
      </c>
      <c r="AI11" s="11">
        <v>0.99199999999999999</v>
      </c>
      <c r="AJ11" s="12">
        <v>8.6999999999999993</v>
      </c>
      <c r="AK11" s="13">
        <f>(AI11*((100-AJ11)/(100-13)))</f>
        <v>1.0410298850574713</v>
      </c>
      <c r="AL11" s="13">
        <f>(AI11*((100-AJ11)/(100-13))/5)*10000</f>
        <v>2082.0597701149427</v>
      </c>
      <c r="AM11" s="14">
        <f>AL11/1000</f>
        <v>2.0820597701149426</v>
      </c>
      <c r="AN11" s="13">
        <v>9.66</v>
      </c>
      <c r="AO11" s="13">
        <f>(AN11*((100-AJ11)/(100-13)))</f>
        <v>10.13744827586207</v>
      </c>
      <c r="AP11" s="15">
        <v>0.88600000000000001</v>
      </c>
      <c r="AQ11" s="13">
        <f>(AP11*((100-AJ11)/(100-13))/5)*10000</f>
        <v>1859.5816091954025</v>
      </c>
      <c r="AR11" s="16">
        <f>((1-(AL11-AQ11)/AL11))</f>
        <v>0.89314516129032262</v>
      </c>
    </row>
    <row r="12" spans="1:44" ht="15.6" x14ac:dyDescent="0.3">
      <c r="A12" s="4">
        <v>11</v>
      </c>
      <c r="B12" s="4">
        <v>1</v>
      </c>
      <c r="C12" s="5">
        <v>11</v>
      </c>
      <c r="D12" s="4">
        <v>1</v>
      </c>
      <c r="E12" s="22" t="s">
        <v>100</v>
      </c>
      <c r="F12" s="4" t="s">
        <v>44</v>
      </c>
      <c r="G12" s="6">
        <v>45615</v>
      </c>
      <c r="H12" s="7" t="s">
        <v>104</v>
      </c>
      <c r="I12" s="6">
        <v>45665</v>
      </c>
      <c r="J12" s="4">
        <f>I12-G12</f>
        <v>50</v>
      </c>
      <c r="K12" s="4">
        <v>41</v>
      </c>
      <c r="L12" s="4">
        <v>42</v>
      </c>
      <c r="M12" s="4">
        <v>40</v>
      </c>
      <c r="N12" s="4">
        <v>36</v>
      </c>
      <c r="O12" s="4">
        <v>42</v>
      </c>
      <c r="P12" s="5">
        <f>AVERAGE(K12:O12)</f>
        <v>40.200000000000003</v>
      </c>
      <c r="Q12" s="8">
        <v>45721</v>
      </c>
      <c r="R12" s="4">
        <v>7</v>
      </c>
      <c r="S12" s="4">
        <v>10</v>
      </c>
      <c r="T12" s="4">
        <v>7</v>
      </c>
      <c r="U12" s="4">
        <v>6</v>
      </c>
      <c r="V12" s="4">
        <v>10</v>
      </c>
      <c r="W12" s="5">
        <f>AVERAGE(R12:V12)</f>
        <v>8</v>
      </c>
      <c r="X12" s="4">
        <v>44</v>
      </c>
      <c r="Y12" s="9">
        <v>64</v>
      </c>
      <c r="Z12" s="9">
        <v>82</v>
      </c>
      <c r="AA12" s="9">
        <v>77</v>
      </c>
      <c r="AB12" s="9">
        <v>57</v>
      </c>
      <c r="AC12" s="5">
        <f>AVERAGE(X12:AB12)</f>
        <v>64.8</v>
      </c>
      <c r="AD12" s="17" t="s">
        <v>106</v>
      </c>
      <c r="AE12" s="6">
        <v>45729</v>
      </c>
      <c r="AF12" s="4">
        <f>AE12-G12</f>
        <v>114</v>
      </c>
      <c r="AG12" s="4">
        <v>2</v>
      </c>
      <c r="AH12" s="4">
        <v>3</v>
      </c>
      <c r="AI12" s="11">
        <v>1.1859999999999999</v>
      </c>
      <c r="AJ12" s="12">
        <v>8.1999999999999993</v>
      </c>
      <c r="AK12" s="13">
        <f>(AI12*((100-AJ12)/(100-13)))</f>
        <v>1.2514344827586206</v>
      </c>
      <c r="AL12" s="13">
        <f>(AI12*((100-AJ12)/(100-13))/5)*10000</f>
        <v>2502.8689655172411</v>
      </c>
      <c r="AM12" s="14">
        <f>AL12/1000</f>
        <v>2.5028689655172411</v>
      </c>
      <c r="AN12" s="13">
        <v>8.75</v>
      </c>
      <c r="AO12" s="13">
        <f>(AN12*((100-AJ12)/(100-13)))</f>
        <v>9.2327586206896548</v>
      </c>
      <c r="AP12" s="15">
        <v>1.03</v>
      </c>
      <c r="AQ12" s="13">
        <f>(AP12*((100-AJ12)/(100-13))/5)*10000</f>
        <v>2173.655172413793</v>
      </c>
      <c r="AR12" s="16">
        <f>((1-(AL12-AQ12)/AL12))</f>
        <v>0.86846543001686349</v>
      </c>
    </row>
    <row r="13" spans="1:44" ht="15.6" x14ac:dyDescent="0.3">
      <c r="A13" s="4">
        <v>12</v>
      </c>
      <c r="B13" s="4">
        <v>1</v>
      </c>
      <c r="C13" s="5">
        <v>12</v>
      </c>
      <c r="D13" s="4">
        <v>1</v>
      </c>
      <c r="E13" s="22" t="s">
        <v>85</v>
      </c>
      <c r="F13" s="4" t="s">
        <v>36</v>
      </c>
      <c r="G13" s="6">
        <v>45615</v>
      </c>
      <c r="H13" s="4" t="s">
        <v>103</v>
      </c>
      <c r="I13" s="6">
        <v>45669</v>
      </c>
      <c r="J13" s="4">
        <f>I13-G13</f>
        <v>54</v>
      </c>
      <c r="K13" s="4">
        <v>50</v>
      </c>
      <c r="L13" s="4">
        <v>60</v>
      </c>
      <c r="M13" s="4">
        <v>64</v>
      </c>
      <c r="N13" s="4">
        <v>40</v>
      </c>
      <c r="O13" s="4">
        <v>67</v>
      </c>
      <c r="P13" s="5">
        <f>AVERAGE(K13:O13)</f>
        <v>56.2</v>
      </c>
      <c r="Q13" s="8">
        <v>45729</v>
      </c>
      <c r="R13" s="4">
        <v>15</v>
      </c>
      <c r="S13" s="4">
        <v>11</v>
      </c>
      <c r="T13" s="4">
        <v>10</v>
      </c>
      <c r="U13" s="4">
        <v>13</v>
      </c>
      <c r="V13" s="4">
        <v>4</v>
      </c>
      <c r="W13" s="5">
        <f>AVERAGE(R13:V13)</f>
        <v>10.6</v>
      </c>
      <c r="X13" s="4">
        <v>74</v>
      </c>
      <c r="Y13" s="9">
        <v>70</v>
      </c>
      <c r="Z13" s="9">
        <v>77</v>
      </c>
      <c r="AA13" s="9">
        <v>61</v>
      </c>
      <c r="AB13" s="9">
        <v>56</v>
      </c>
      <c r="AC13" s="5">
        <f>AVERAGE(X13:AB13)</f>
        <v>67.599999999999994</v>
      </c>
      <c r="AD13" s="17" t="s">
        <v>106</v>
      </c>
      <c r="AE13" s="6">
        <v>45740</v>
      </c>
      <c r="AF13" s="4">
        <f>AE13-G13</f>
        <v>125</v>
      </c>
      <c r="AG13" s="4">
        <v>2</v>
      </c>
      <c r="AH13" s="4">
        <v>3</v>
      </c>
      <c r="AI13" s="11">
        <v>1.544</v>
      </c>
      <c r="AJ13" s="12">
        <v>7.9</v>
      </c>
      <c r="AK13" s="13">
        <f>(AI13*((100-AJ13)/(100-13)))</f>
        <v>1.6345103448275862</v>
      </c>
      <c r="AL13" s="13">
        <f>(AI13*((100-AJ13)/(100-13))/5)*10000</f>
        <v>3269.0206896551722</v>
      </c>
      <c r="AM13" s="14">
        <f>AL13/1000</f>
        <v>3.2690206896551723</v>
      </c>
      <c r="AN13" s="13">
        <v>9.83</v>
      </c>
      <c r="AO13" s="13">
        <f>(AN13*((100-AJ13)/(100-13)))</f>
        <v>10.406241379310345</v>
      </c>
      <c r="AP13" s="15">
        <v>1.1859999999999999</v>
      </c>
      <c r="AQ13" s="13">
        <f>(AP13*((100-AJ13)/(100-13))/5)*10000</f>
        <v>2511.0482758620687</v>
      </c>
      <c r="AR13" s="16">
        <f>((1-(AL13-AQ13)/AL13))</f>
        <v>0.76813471502590669</v>
      </c>
    </row>
    <row r="14" spans="1:44" ht="15.6" x14ac:dyDescent="0.3">
      <c r="A14" s="4">
        <v>13</v>
      </c>
      <c r="B14" s="4">
        <v>1</v>
      </c>
      <c r="C14" s="5">
        <v>13</v>
      </c>
      <c r="D14" s="4">
        <v>1</v>
      </c>
      <c r="E14" s="22" t="s">
        <v>94</v>
      </c>
      <c r="F14" s="4" t="s">
        <v>27</v>
      </c>
      <c r="G14" s="6">
        <v>45615</v>
      </c>
      <c r="H14" s="7" t="s">
        <v>104</v>
      </c>
      <c r="I14" s="6">
        <v>45665</v>
      </c>
      <c r="J14" s="4">
        <f>I14-G14</f>
        <v>50</v>
      </c>
      <c r="K14" s="4">
        <v>36</v>
      </c>
      <c r="L14" s="4">
        <v>32</v>
      </c>
      <c r="M14" s="4">
        <v>33</v>
      </c>
      <c r="N14" s="4">
        <v>33</v>
      </c>
      <c r="O14" s="4">
        <v>27</v>
      </c>
      <c r="P14" s="5">
        <f>AVERAGE(K14:O14)</f>
        <v>32.200000000000003</v>
      </c>
      <c r="Q14" s="8">
        <v>45727</v>
      </c>
      <c r="R14" s="4">
        <v>8</v>
      </c>
      <c r="S14" s="4">
        <v>12</v>
      </c>
      <c r="T14" s="4">
        <v>8</v>
      </c>
      <c r="U14" s="4">
        <v>11</v>
      </c>
      <c r="V14" s="4">
        <v>30</v>
      </c>
      <c r="W14" s="5">
        <f>AVERAGE(R14:V14)</f>
        <v>13.8</v>
      </c>
      <c r="X14" s="4">
        <v>77</v>
      </c>
      <c r="Y14" s="9">
        <v>69</v>
      </c>
      <c r="Z14" s="9">
        <v>78</v>
      </c>
      <c r="AA14" s="9">
        <v>89</v>
      </c>
      <c r="AB14" s="9">
        <v>74</v>
      </c>
      <c r="AC14" s="5">
        <f>AVERAGE(X14:AB14)</f>
        <v>77.400000000000006</v>
      </c>
      <c r="AD14" s="10" t="s">
        <v>105</v>
      </c>
      <c r="AE14" s="6">
        <v>45734</v>
      </c>
      <c r="AF14" s="4">
        <f>AE14-G14</f>
        <v>119</v>
      </c>
      <c r="AG14" s="4">
        <v>3</v>
      </c>
      <c r="AH14" s="4">
        <v>3</v>
      </c>
      <c r="AI14" s="11">
        <v>1.022</v>
      </c>
      <c r="AJ14" s="12">
        <v>8.1</v>
      </c>
      <c r="AK14" s="13">
        <f>(AI14*((100-AJ14)/(100-13)))</f>
        <v>1.07956091954023</v>
      </c>
      <c r="AL14" s="13">
        <f>(AI14*((100-AJ14)/(100-13))/5)*10000</f>
        <v>2159.1218390804602</v>
      </c>
      <c r="AM14" s="14">
        <f>AL14/1000</f>
        <v>2.1591218390804601</v>
      </c>
      <c r="AN14" s="13">
        <v>12.4</v>
      </c>
      <c r="AO14" s="13">
        <f>(AN14*((100-AJ14)/(100-13)))</f>
        <v>13.098390804597702</v>
      </c>
      <c r="AP14" s="15">
        <v>0.89200000000000002</v>
      </c>
      <c r="AQ14" s="13">
        <f>(AP14*((100-AJ14)/(100-13))/5)*10000</f>
        <v>1884.4781609195404</v>
      </c>
      <c r="AR14" s="16">
        <f>((1-(AL14-AQ14)/AL14))</f>
        <v>0.87279843444227001</v>
      </c>
    </row>
    <row r="15" spans="1:44" ht="15.6" x14ac:dyDescent="0.3">
      <c r="A15" s="4">
        <v>14</v>
      </c>
      <c r="B15" s="4">
        <v>1</v>
      </c>
      <c r="C15" s="5">
        <v>14</v>
      </c>
      <c r="D15" s="4">
        <v>1</v>
      </c>
      <c r="E15" s="22" t="s">
        <v>77</v>
      </c>
      <c r="F15" s="4" t="s">
        <v>45</v>
      </c>
      <c r="G15" s="6">
        <v>45615</v>
      </c>
      <c r="H15" s="4" t="s">
        <v>103</v>
      </c>
      <c r="I15" s="6">
        <v>45675</v>
      </c>
      <c r="J15" s="4">
        <f>I15-G15</f>
        <v>60</v>
      </c>
      <c r="K15" s="4">
        <v>59</v>
      </c>
      <c r="L15" s="4">
        <v>62</v>
      </c>
      <c r="M15" s="4">
        <v>61</v>
      </c>
      <c r="N15" s="4">
        <v>64</v>
      </c>
      <c r="O15" s="4">
        <v>56</v>
      </c>
      <c r="P15" s="5">
        <f>AVERAGE(K15:O15)</f>
        <v>60.4</v>
      </c>
      <c r="Q15" s="8">
        <v>45723</v>
      </c>
      <c r="R15" s="4">
        <v>10</v>
      </c>
      <c r="S15" s="4">
        <v>14</v>
      </c>
      <c r="T15" s="4">
        <v>22</v>
      </c>
      <c r="U15" s="4">
        <v>12</v>
      </c>
      <c r="V15" s="4">
        <v>14</v>
      </c>
      <c r="W15" s="5">
        <f>AVERAGE(R15:V15)</f>
        <v>14.4</v>
      </c>
      <c r="X15" s="4">
        <v>70</v>
      </c>
      <c r="Y15" s="9">
        <v>85</v>
      </c>
      <c r="Z15" s="9">
        <v>73</v>
      </c>
      <c r="AA15" s="9">
        <v>71</v>
      </c>
      <c r="AB15" s="9">
        <v>76</v>
      </c>
      <c r="AC15" s="5">
        <f>AVERAGE(X15:AB15)</f>
        <v>75</v>
      </c>
      <c r="AD15" s="17" t="s">
        <v>106</v>
      </c>
      <c r="AE15" s="6">
        <v>45735</v>
      </c>
      <c r="AF15" s="4">
        <f>AE15-G15</f>
        <v>120</v>
      </c>
      <c r="AG15" s="4">
        <v>3</v>
      </c>
      <c r="AH15" s="4">
        <v>3</v>
      </c>
      <c r="AI15" s="11">
        <v>1.04</v>
      </c>
      <c r="AJ15" s="12">
        <v>8.3000000000000007</v>
      </c>
      <c r="AK15" s="13">
        <f>(AI15*((100-AJ15)/(100-13)))</f>
        <v>1.096183908045977</v>
      </c>
      <c r="AL15" s="13">
        <f>(AI15*((100-AJ15)/(100-13))/5)*10000</f>
        <v>2192.367816091954</v>
      </c>
      <c r="AM15" s="14">
        <f>AL15/1000</f>
        <v>2.192367816091954</v>
      </c>
      <c r="AN15" s="13">
        <v>9.23</v>
      </c>
      <c r="AO15" s="13">
        <f>(AN15*((100-AJ15)/(100-13)))</f>
        <v>9.7286321839080454</v>
      </c>
      <c r="AP15" s="15">
        <v>0.50800000000000001</v>
      </c>
      <c r="AQ15" s="13">
        <f>(AP15*((100-AJ15)/(100-13))/5)*10000</f>
        <v>1070.887356321839</v>
      </c>
      <c r="AR15" s="16">
        <f>((1-(AL15-AQ15)/AL15))</f>
        <v>0.48846153846153839</v>
      </c>
    </row>
    <row r="16" spans="1:44" ht="15.6" x14ac:dyDescent="0.3">
      <c r="A16" s="4">
        <v>15</v>
      </c>
      <c r="B16" s="4">
        <v>1</v>
      </c>
      <c r="C16" s="5">
        <v>15</v>
      </c>
      <c r="D16" s="4">
        <v>1</v>
      </c>
      <c r="E16" s="22" t="s">
        <v>78</v>
      </c>
      <c r="F16" s="4" t="s">
        <v>35</v>
      </c>
      <c r="G16" s="6">
        <v>45615</v>
      </c>
      <c r="H16" s="4" t="s">
        <v>103</v>
      </c>
      <c r="I16" s="6">
        <v>45663</v>
      </c>
      <c r="J16" s="4">
        <f>I16-G16</f>
        <v>48</v>
      </c>
      <c r="K16" s="4">
        <v>27</v>
      </c>
      <c r="L16" s="4">
        <v>29</v>
      </c>
      <c r="M16" s="4">
        <v>33</v>
      </c>
      <c r="N16" s="4">
        <v>31</v>
      </c>
      <c r="O16" s="4">
        <v>36</v>
      </c>
      <c r="P16" s="5">
        <f>AVERAGE(K16:O16)</f>
        <v>31.2</v>
      </c>
      <c r="Q16" s="8">
        <v>45725</v>
      </c>
      <c r="R16" s="4">
        <v>9</v>
      </c>
      <c r="S16" s="4">
        <v>6</v>
      </c>
      <c r="T16" s="4">
        <v>7</v>
      </c>
      <c r="U16" s="4">
        <v>7</v>
      </c>
      <c r="V16" s="4">
        <v>5</v>
      </c>
      <c r="W16" s="5">
        <f>AVERAGE(R16:V16)</f>
        <v>6.8</v>
      </c>
      <c r="X16" s="4">
        <v>88</v>
      </c>
      <c r="Y16" s="9">
        <v>81</v>
      </c>
      <c r="Z16" s="9">
        <v>88</v>
      </c>
      <c r="AA16" s="9">
        <v>91</v>
      </c>
      <c r="AB16" s="9">
        <v>76</v>
      </c>
      <c r="AC16" s="5">
        <f>AVERAGE(X16:AB16)</f>
        <v>84.8</v>
      </c>
      <c r="AD16" s="10" t="s">
        <v>105</v>
      </c>
      <c r="AE16" s="6">
        <v>45740</v>
      </c>
      <c r="AF16" s="4">
        <f>AE16-G16</f>
        <v>125</v>
      </c>
      <c r="AG16" s="4">
        <v>2</v>
      </c>
      <c r="AH16" s="4">
        <v>3</v>
      </c>
      <c r="AI16" s="11">
        <v>1.58</v>
      </c>
      <c r="AJ16" s="12">
        <v>8.5</v>
      </c>
      <c r="AK16" s="13">
        <f>(AI16*((100-AJ16)/(100-13)))</f>
        <v>1.6617241379310346</v>
      </c>
      <c r="AL16" s="13">
        <f>(AI16*((100-AJ16)/(100-13))/5)*10000</f>
        <v>3323.4482758620693</v>
      </c>
      <c r="AM16" s="14">
        <f>AL16/1000</f>
        <v>3.3234482758620691</v>
      </c>
      <c r="AN16" s="13">
        <v>12</v>
      </c>
      <c r="AO16" s="13">
        <f>(AN16*((100-AJ16)/(100-13)))</f>
        <v>12.620689655172413</v>
      </c>
      <c r="AP16" s="15">
        <v>1.3320000000000001</v>
      </c>
      <c r="AQ16" s="13">
        <f>(AP16*((100-AJ16)/(100-13))/5)*10000</f>
        <v>2801.7931034482763</v>
      </c>
      <c r="AR16" s="16">
        <f>((1-(AL16-AQ16)/AL16))</f>
        <v>0.84303797468354436</v>
      </c>
    </row>
    <row r="17" spans="1:44" ht="15.6" x14ac:dyDescent="0.3">
      <c r="A17" s="4">
        <v>15</v>
      </c>
      <c r="B17" s="4">
        <v>2</v>
      </c>
      <c r="C17" s="5">
        <v>16</v>
      </c>
      <c r="D17" s="4">
        <v>1</v>
      </c>
      <c r="E17" s="22" t="s">
        <v>95</v>
      </c>
      <c r="F17" s="4" t="s">
        <v>52</v>
      </c>
      <c r="G17" s="6">
        <v>45615</v>
      </c>
      <c r="H17" s="7" t="s">
        <v>104</v>
      </c>
      <c r="I17" s="6">
        <v>45672</v>
      </c>
      <c r="J17" s="4">
        <f>I17-G17</f>
        <v>57</v>
      </c>
      <c r="K17" s="7">
        <v>56</v>
      </c>
      <c r="L17" s="7">
        <v>60</v>
      </c>
      <c r="M17" s="4">
        <v>71</v>
      </c>
      <c r="N17" s="4">
        <v>63</v>
      </c>
      <c r="O17" s="7">
        <v>58</v>
      </c>
      <c r="P17" s="5">
        <f>AVERAGE(K17:O17)</f>
        <v>61.6</v>
      </c>
      <c r="Q17" s="8">
        <v>45721</v>
      </c>
      <c r="R17" s="4">
        <v>8</v>
      </c>
      <c r="S17" s="4">
        <v>14</v>
      </c>
      <c r="T17" s="4">
        <v>7</v>
      </c>
      <c r="U17" s="4">
        <v>14</v>
      </c>
      <c r="V17" s="4">
        <v>8</v>
      </c>
      <c r="W17" s="5">
        <f>AVERAGE(R17:V17)</f>
        <v>10.199999999999999</v>
      </c>
      <c r="X17" s="4">
        <v>99</v>
      </c>
      <c r="Y17" s="9">
        <v>98</v>
      </c>
      <c r="Z17" s="9">
        <v>90</v>
      </c>
      <c r="AA17" s="9">
        <v>97</v>
      </c>
      <c r="AB17" s="9">
        <v>102</v>
      </c>
      <c r="AC17" s="5">
        <f>AVERAGE(X17:AB17)</f>
        <v>97.2</v>
      </c>
      <c r="AD17" s="17" t="s">
        <v>106</v>
      </c>
      <c r="AE17" s="6">
        <v>45740</v>
      </c>
      <c r="AF17" s="4">
        <f>AE17-G17</f>
        <v>125</v>
      </c>
      <c r="AG17" s="4">
        <v>4</v>
      </c>
      <c r="AH17" s="4">
        <v>2</v>
      </c>
      <c r="AI17" s="11">
        <v>0.66600000000000004</v>
      </c>
      <c r="AJ17" s="12">
        <v>9</v>
      </c>
      <c r="AK17" s="13">
        <f>(AI17*((100-AJ17)/(100-13)))</f>
        <v>0.69662068965517243</v>
      </c>
      <c r="AL17" s="13">
        <f>(AI17*((100-AJ17)/(100-13))/5)*10000</f>
        <v>1393.2413793103449</v>
      </c>
      <c r="AM17" s="14">
        <f>AL17/1000</f>
        <v>1.3932413793103449</v>
      </c>
      <c r="AN17" s="13">
        <v>8.52</v>
      </c>
      <c r="AO17" s="13">
        <f>(AN17*((100-AJ17)/(100-13)))</f>
        <v>8.9117241379310332</v>
      </c>
      <c r="AP17" s="15">
        <v>0.57799999999999996</v>
      </c>
      <c r="AQ17" s="13">
        <f>(AP17*((100-AJ17)/(100-13))/5)*10000</f>
        <v>1209.1494252873563</v>
      </c>
      <c r="AR17" s="16">
        <f>((1-(AL17-AQ17)/AL17))</f>
        <v>0.86786786786786774</v>
      </c>
    </row>
    <row r="18" spans="1:44" ht="15.6" x14ac:dyDescent="0.3">
      <c r="A18" s="4">
        <v>14</v>
      </c>
      <c r="B18" s="4">
        <v>2</v>
      </c>
      <c r="C18" s="5">
        <v>17</v>
      </c>
      <c r="D18" s="4">
        <v>1</v>
      </c>
      <c r="E18" s="22" t="s">
        <v>87</v>
      </c>
      <c r="F18" s="4" t="s">
        <v>48</v>
      </c>
      <c r="G18" s="6">
        <v>45615</v>
      </c>
      <c r="H18" s="4" t="s">
        <v>103</v>
      </c>
      <c r="I18" s="6">
        <v>45676</v>
      </c>
      <c r="J18" s="4">
        <f>I18-G18</f>
        <v>61</v>
      </c>
      <c r="K18" s="4">
        <v>43</v>
      </c>
      <c r="L18" s="4">
        <v>42</v>
      </c>
      <c r="M18" s="4">
        <v>46</v>
      </c>
      <c r="N18" s="4">
        <v>48</v>
      </c>
      <c r="O18" s="4">
        <v>55</v>
      </c>
      <c r="P18" s="5">
        <f>AVERAGE(K18:O18)</f>
        <v>46.8</v>
      </c>
      <c r="Q18" s="8">
        <v>45726</v>
      </c>
      <c r="R18" s="4">
        <v>30</v>
      </c>
      <c r="S18" s="4">
        <v>32</v>
      </c>
      <c r="T18" s="4">
        <v>15</v>
      </c>
      <c r="U18" s="4">
        <v>13</v>
      </c>
      <c r="V18" s="4">
        <v>14</v>
      </c>
      <c r="W18" s="5">
        <f>AVERAGE(R18:V18)</f>
        <v>20.8</v>
      </c>
      <c r="X18" s="4">
        <v>99</v>
      </c>
      <c r="Y18" s="9">
        <v>87</v>
      </c>
      <c r="Z18" s="9">
        <v>100</v>
      </c>
      <c r="AA18" s="9">
        <v>76</v>
      </c>
      <c r="AB18" s="9">
        <v>69</v>
      </c>
      <c r="AC18" s="5">
        <f>AVERAGE(X18:AB18)</f>
        <v>86.2</v>
      </c>
      <c r="AD18" s="17" t="s">
        <v>106</v>
      </c>
      <c r="AE18" s="6">
        <v>45735</v>
      </c>
      <c r="AF18" s="4">
        <f>AE18-G18</f>
        <v>120</v>
      </c>
      <c r="AG18" s="4">
        <v>2</v>
      </c>
      <c r="AH18" s="4">
        <v>3</v>
      </c>
      <c r="AI18" s="11">
        <v>0.81399999999999995</v>
      </c>
      <c r="AJ18" s="12">
        <v>8.4</v>
      </c>
      <c r="AK18" s="13">
        <f>(AI18*((100-AJ18)/(100-13)))</f>
        <v>0.85703908045977006</v>
      </c>
      <c r="AL18" s="13">
        <f>(AI18*((100-AJ18)/(100-13))/5)*10000</f>
        <v>1714.0781609195401</v>
      </c>
      <c r="AM18" s="14">
        <f>AL18/1000</f>
        <v>1.7140781609195401</v>
      </c>
      <c r="AN18" s="13">
        <v>6.24</v>
      </c>
      <c r="AO18" s="13">
        <f>(AN18*((100-AJ18)/(100-13)))</f>
        <v>6.5699310344827584</v>
      </c>
      <c r="AP18" s="15">
        <v>0.66</v>
      </c>
      <c r="AQ18" s="13">
        <f>(AP18*((100-AJ18)/(100-13))/5)*10000</f>
        <v>1389.7931034482758</v>
      </c>
      <c r="AR18" s="16">
        <f>((1-(AL18-AQ18)/AL18))</f>
        <v>0.81081081081081086</v>
      </c>
    </row>
    <row r="19" spans="1:44" ht="15.6" x14ac:dyDescent="0.3">
      <c r="A19" s="4">
        <v>13</v>
      </c>
      <c r="B19" s="4">
        <v>2</v>
      </c>
      <c r="C19" s="5">
        <v>18</v>
      </c>
      <c r="D19" s="4">
        <v>1</v>
      </c>
      <c r="E19" s="22" t="s">
        <v>93</v>
      </c>
      <c r="F19" s="4" t="s">
        <v>42</v>
      </c>
      <c r="G19" s="6">
        <v>45615</v>
      </c>
      <c r="H19" s="4" t="s">
        <v>103</v>
      </c>
      <c r="I19" s="6">
        <v>45672</v>
      </c>
      <c r="J19" s="4">
        <f>I19-G19</f>
        <v>57</v>
      </c>
      <c r="K19" s="4">
        <v>59</v>
      </c>
      <c r="L19" s="4">
        <v>55</v>
      </c>
      <c r="M19" s="4">
        <v>60</v>
      </c>
      <c r="N19" s="4">
        <v>44</v>
      </c>
      <c r="O19" s="4">
        <v>54</v>
      </c>
      <c r="P19" s="5">
        <f>AVERAGE(K19:O19)</f>
        <v>54.4</v>
      </c>
      <c r="Q19" s="8">
        <v>45729</v>
      </c>
      <c r="R19" s="4">
        <v>20</v>
      </c>
      <c r="S19" s="4">
        <v>7</v>
      </c>
      <c r="T19" s="4">
        <v>9</v>
      </c>
      <c r="U19" s="4">
        <v>9</v>
      </c>
      <c r="V19" s="4">
        <v>16</v>
      </c>
      <c r="W19" s="5">
        <f>AVERAGE(R19:V19)</f>
        <v>12.2</v>
      </c>
      <c r="X19" s="4">
        <v>80</v>
      </c>
      <c r="Y19" s="9">
        <v>79</v>
      </c>
      <c r="Z19" s="9">
        <v>67</v>
      </c>
      <c r="AA19" s="9">
        <v>83</v>
      </c>
      <c r="AB19" s="9">
        <v>83</v>
      </c>
      <c r="AC19" s="5">
        <f>AVERAGE(X19:AB19)</f>
        <v>78.400000000000006</v>
      </c>
      <c r="AD19" s="17" t="s">
        <v>106</v>
      </c>
      <c r="AE19" s="6">
        <v>45740</v>
      </c>
      <c r="AF19" s="4">
        <f>AE19-G19</f>
        <v>125</v>
      </c>
      <c r="AG19" s="4">
        <v>2</v>
      </c>
      <c r="AH19" s="4">
        <v>3</v>
      </c>
      <c r="AI19" s="11">
        <v>1.35</v>
      </c>
      <c r="AJ19" s="12">
        <v>8.4</v>
      </c>
      <c r="AK19" s="13">
        <f>(AI19*((100-AJ19)/(100-13)))</f>
        <v>1.4213793103448276</v>
      </c>
      <c r="AL19" s="13">
        <f>(AI19*((100-AJ19)/(100-13))/5)*10000</f>
        <v>2842.7586206896549</v>
      </c>
      <c r="AM19" s="14">
        <f>AL19/1000</f>
        <v>2.8427586206896547</v>
      </c>
      <c r="AN19" s="13">
        <v>8.9499999999999993</v>
      </c>
      <c r="AO19" s="13">
        <f>(AN19*((100-AJ19)/(100-13)))</f>
        <v>9.4232183908045961</v>
      </c>
      <c r="AP19" s="15">
        <v>1.0640000000000001</v>
      </c>
      <c r="AQ19" s="13">
        <f>(AP19*((100-AJ19)/(100-13))/5)*10000</f>
        <v>2240.5149425287359</v>
      </c>
      <c r="AR19" s="16">
        <f>((1-(AL19-AQ19)/AL19))</f>
        <v>0.78814814814814826</v>
      </c>
    </row>
    <row r="20" spans="1:44" ht="15.6" x14ac:dyDescent="0.3">
      <c r="A20" s="4">
        <v>12</v>
      </c>
      <c r="B20" s="4">
        <v>2</v>
      </c>
      <c r="C20" s="5">
        <v>19</v>
      </c>
      <c r="D20" s="4">
        <v>1</v>
      </c>
      <c r="E20" s="22" t="s">
        <v>86</v>
      </c>
      <c r="F20" s="4" t="s">
        <v>26</v>
      </c>
      <c r="G20" s="6">
        <v>45615</v>
      </c>
      <c r="H20" s="4" t="s">
        <v>103</v>
      </c>
      <c r="I20" s="6">
        <v>45669</v>
      </c>
      <c r="J20" s="4">
        <f>I20-G20</f>
        <v>54</v>
      </c>
      <c r="K20" s="4">
        <v>57</v>
      </c>
      <c r="L20" s="4">
        <v>61</v>
      </c>
      <c r="M20" s="4">
        <v>50</v>
      </c>
      <c r="N20" s="4">
        <v>50</v>
      </c>
      <c r="O20" s="4">
        <v>49</v>
      </c>
      <c r="P20" s="5">
        <f>AVERAGE(K20:O20)</f>
        <v>53.4</v>
      </c>
      <c r="Q20" s="8">
        <v>45727</v>
      </c>
      <c r="R20" s="4">
        <v>6</v>
      </c>
      <c r="S20" s="4">
        <v>12</v>
      </c>
      <c r="T20" s="4">
        <v>11</v>
      </c>
      <c r="U20" s="4">
        <v>14</v>
      </c>
      <c r="V20" s="4">
        <v>23</v>
      </c>
      <c r="W20" s="5">
        <f>AVERAGE(R20:V20)</f>
        <v>13.2</v>
      </c>
      <c r="X20" s="4">
        <v>50</v>
      </c>
      <c r="Y20" s="9">
        <v>60</v>
      </c>
      <c r="Z20" s="9">
        <v>68</v>
      </c>
      <c r="AA20" s="9">
        <v>60</v>
      </c>
      <c r="AB20" s="9">
        <v>77</v>
      </c>
      <c r="AC20" s="5">
        <f>AVERAGE(X20:AB20)</f>
        <v>63</v>
      </c>
      <c r="AD20" s="10" t="s">
        <v>105</v>
      </c>
      <c r="AE20" s="6">
        <v>45734</v>
      </c>
      <c r="AF20" s="4">
        <f>AE20-G20</f>
        <v>119</v>
      </c>
      <c r="AG20" s="4">
        <v>2</v>
      </c>
      <c r="AH20" s="4">
        <v>3</v>
      </c>
      <c r="AI20" s="11">
        <v>1.3420000000000001</v>
      </c>
      <c r="AJ20" s="12">
        <v>8.4</v>
      </c>
      <c r="AK20" s="13">
        <f>(AI20*((100-AJ20)/(100-13)))</f>
        <v>1.4129563218390806</v>
      </c>
      <c r="AL20" s="13">
        <f>(AI20*((100-AJ20)/(100-13))/5)*10000</f>
        <v>2825.9126436781612</v>
      </c>
      <c r="AM20" s="14">
        <f>AL20/1000</f>
        <v>2.8259126436781612</v>
      </c>
      <c r="AN20" s="13">
        <v>13.78</v>
      </c>
      <c r="AO20" s="13">
        <f>(AN20*((100-AJ20)/(100-13)))</f>
        <v>14.508597701149425</v>
      </c>
      <c r="AP20" s="15">
        <v>1.194</v>
      </c>
      <c r="AQ20" s="13">
        <f>(AP20*((100-AJ20)/(100-13))/5)*10000</f>
        <v>2514.2620689655168</v>
      </c>
      <c r="AR20" s="16">
        <f>((1-(AL20-AQ20)/AL20))</f>
        <v>0.88971684053651245</v>
      </c>
    </row>
    <row r="21" spans="1:44" ht="15.6" x14ac:dyDescent="0.3">
      <c r="A21" s="4">
        <v>11</v>
      </c>
      <c r="B21" s="4">
        <v>2</v>
      </c>
      <c r="C21" s="5">
        <v>20</v>
      </c>
      <c r="D21" s="4">
        <v>1</v>
      </c>
      <c r="E21" s="22" t="s">
        <v>81</v>
      </c>
      <c r="F21" s="4" t="s">
        <v>28</v>
      </c>
      <c r="G21" s="6">
        <v>45615</v>
      </c>
      <c r="H21" s="7" t="s">
        <v>104</v>
      </c>
      <c r="I21" s="6">
        <v>45665</v>
      </c>
      <c r="J21" s="4">
        <f>I21-G21</f>
        <v>50</v>
      </c>
      <c r="K21" s="4">
        <v>40</v>
      </c>
      <c r="L21" s="4">
        <v>44</v>
      </c>
      <c r="M21" s="4">
        <v>38</v>
      </c>
      <c r="N21" s="4">
        <v>42</v>
      </c>
      <c r="O21" s="4">
        <v>46</v>
      </c>
      <c r="P21" s="5">
        <f>AVERAGE(K21:O21)</f>
        <v>42</v>
      </c>
      <c r="Q21" s="8">
        <v>45729</v>
      </c>
      <c r="R21" s="4">
        <v>10</v>
      </c>
      <c r="S21" s="4">
        <v>10</v>
      </c>
      <c r="T21" s="4">
        <v>10</v>
      </c>
      <c r="U21" s="4">
        <v>14</v>
      </c>
      <c r="V21" s="4">
        <v>11</v>
      </c>
      <c r="W21" s="5">
        <f>AVERAGE(R21:V21)</f>
        <v>11</v>
      </c>
      <c r="X21" s="4">
        <v>79</v>
      </c>
      <c r="Y21" s="9">
        <v>73</v>
      </c>
      <c r="Z21" s="9">
        <v>72</v>
      </c>
      <c r="AA21" s="9">
        <v>96</v>
      </c>
      <c r="AB21" s="9">
        <v>79</v>
      </c>
      <c r="AC21" s="5">
        <f>AVERAGE(X21:AB21)</f>
        <v>79.8</v>
      </c>
      <c r="AD21" s="17" t="s">
        <v>106</v>
      </c>
      <c r="AE21" s="6">
        <v>45740</v>
      </c>
      <c r="AF21" s="4">
        <f>AE21-G21</f>
        <v>125</v>
      </c>
      <c r="AG21" s="4">
        <v>2</v>
      </c>
      <c r="AH21" s="4">
        <v>3</v>
      </c>
      <c r="AI21" s="11">
        <v>1.39</v>
      </c>
      <c r="AJ21" s="12">
        <v>8.4</v>
      </c>
      <c r="AK21" s="13">
        <f>(AI21*((100-AJ21)/(100-13)))</f>
        <v>1.4634942528735631</v>
      </c>
      <c r="AL21" s="13">
        <f>(AI21*((100-AJ21)/(100-13))/5)*10000</f>
        <v>2926.9885057471261</v>
      </c>
      <c r="AM21" s="14">
        <f>AL21/1000</f>
        <v>2.9269885057471261</v>
      </c>
      <c r="AN21" s="13">
        <v>11.59</v>
      </c>
      <c r="AO21" s="13">
        <f>(AN21*((100-AJ21)/(100-13)))</f>
        <v>12.202804597701149</v>
      </c>
      <c r="AP21" s="15">
        <v>0.93200000000000005</v>
      </c>
      <c r="AQ21" s="13">
        <f>(AP21*((100-AJ21)/(100-13))/5)*10000</f>
        <v>1962.5563218390805</v>
      </c>
      <c r="AR21" s="16">
        <f>((1-(AL21-AQ21)/AL21))</f>
        <v>0.67050359712230234</v>
      </c>
    </row>
    <row r="22" spans="1:44" ht="15.6" x14ac:dyDescent="0.3">
      <c r="A22" s="4">
        <v>10</v>
      </c>
      <c r="B22" s="4">
        <v>2</v>
      </c>
      <c r="C22" s="5">
        <v>21</v>
      </c>
      <c r="D22" s="4">
        <v>1</v>
      </c>
      <c r="E22" s="22" t="s">
        <v>79</v>
      </c>
      <c r="F22" s="4" t="s">
        <v>34</v>
      </c>
      <c r="G22" s="6">
        <v>45615</v>
      </c>
      <c r="H22" s="7" t="s">
        <v>104</v>
      </c>
      <c r="I22" s="6">
        <v>45668</v>
      </c>
      <c r="J22" s="4">
        <f>I22-G22</f>
        <v>53</v>
      </c>
      <c r="K22" s="4">
        <v>75</v>
      </c>
      <c r="L22" s="4">
        <v>68</v>
      </c>
      <c r="M22" s="4">
        <v>74</v>
      </c>
      <c r="N22" s="4">
        <v>80</v>
      </c>
      <c r="O22" s="4">
        <v>56</v>
      </c>
      <c r="P22" s="5">
        <f>AVERAGE(K22:O22)</f>
        <v>70.599999999999994</v>
      </c>
      <c r="Q22" s="8">
        <v>45727</v>
      </c>
      <c r="R22" s="4">
        <v>10</v>
      </c>
      <c r="S22" s="4">
        <v>20</v>
      </c>
      <c r="T22" s="4">
        <v>23</v>
      </c>
      <c r="U22" s="4">
        <v>15</v>
      </c>
      <c r="V22" s="4">
        <v>13</v>
      </c>
      <c r="W22" s="5">
        <f>AVERAGE(R22:V22)</f>
        <v>16.2</v>
      </c>
      <c r="X22" s="4">
        <v>66</v>
      </c>
      <c r="Y22" s="9">
        <v>77</v>
      </c>
      <c r="Z22" s="9">
        <v>80</v>
      </c>
      <c r="AA22" s="9">
        <v>68</v>
      </c>
      <c r="AB22" s="9">
        <v>86</v>
      </c>
      <c r="AC22" s="5">
        <f>AVERAGE(X22:AB22)</f>
        <v>75.400000000000006</v>
      </c>
      <c r="AD22" s="17" t="s">
        <v>106</v>
      </c>
      <c r="AE22" s="6">
        <v>45734</v>
      </c>
      <c r="AF22" s="4">
        <f>AE22-G22</f>
        <v>119</v>
      </c>
      <c r="AG22" s="4">
        <v>2</v>
      </c>
      <c r="AH22" s="4">
        <v>3</v>
      </c>
      <c r="AI22" s="11">
        <v>1.1519999999999999</v>
      </c>
      <c r="AJ22" s="12">
        <v>8.1999999999999993</v>
      </c>
      <c r="AK22" s="13">
        <f>(AI22*((100-AJ22)/(100-13)))</f>
        <v>1.2155586206896549</v>
      </c>
      <c r="AL22" s="13">
        <f>(AI22*((100-AJ22)/(100-13))/5)*10000</f>
        <v>2431.1172413793097</v>
      </c>
      <c r="AM22" s="14">
        <f>AL22/1000</f>
        <v>2.4311172413793098</v>
      </c>
      <c r="AN22" s="13">
        <v>9.74</v>
      </c>
      <c r="AO22" s="13">
        <f>(AN22*((100-AJ22)/(100-13)))</f>
        <v>10.277379310344827</v>
      </c>
      <c r="AP22" s="15">
        <v>0.89800000000000002</v>
      </c>
      <c r="AQ22" s="13">
        <f>(AP22*((100-AJ22)/(100-13))/5)*10000</f>
        <v>1895.0896551724136</v>
      </c>
      <c r="AR22" s="16">
        <f>((1-(AL22-AQ22)/AL22))</f>
        <v>0.77951388888888906</v>
      </c>
    </row>
    <row r="23" spans="1:44" ht="15.6" x14ac:dyDescent="0.3">
      <c r="A23" s="4">
        <v>9</v>
      </c>
      <c r="B23" s="4">
        <v>2</v>
      </c>
      <c r="C23" s="5">
        <v>22</v>
      </c>
      <c r="D23" s="4">
        <v>1</v>
      </c>
      <c r="E23" s="22" t="s">
        <v>96</v>
      </c>
      <c r="F23" s="4" t="s">
        <v>47</v>
      </c>
      <c r="G23" s="6">
        <v>45615</v>
      </c>
      <c r="H23" s="4" t="s">
        <v>103</v>
      </c>
      <c r="I23" s="6">
        <v>45665</v>
      </c>
      <c r="J23" s="4">
        <f>I23-G23</f>
        <v>50</v>
      </c>
      <c r="K23" s="4">
        <v>52</v>
      </c>
      <c r="L23" s="4">
        <v>56</v>
      </c>
      <c r="M23" s="4">
        <v>54</v>
      </c>
      <c r="N23" s="4">
        <v>54</v>
      </c>
      <c r="O23" s="4">
        <v>45</v>
      </c>
      <c r="P23" s="5">
        <f>AVERAGE(K23:O23)</f>
        <v>52.2</v>
      </c>
      <c r="Q23" s="8">
        <v>45727</v>
      </c>
      <c r="R23" s="4">
        <v>6</v>
      </c>
      <c r="S23" s="4">
        <v>4</v>
      </c>
      <c r="T23" s="4">
        <v>5</v>
      </c>
      <c r="U23" s="4">
        <v>11</v>
      </c>
      <c r="V23" s="4">
        <v>17</v>
      </c>
      <c r="W23" s="5">
        <f>AVERAGE(R23:V23)</f>
        <v>8.6</v>
      </c>
      <c r="X23" s="4">
        <v>65</v>
      </c>
      <c r="Y23" s="9">
        <v>79</v>
      </c>
      <c r="Z23" s="9">
        <v>61</v>
      </c>
      <c r="AA23" s="9">
        <v>69</v>
      </c>
      <c r="AB23" s="9">
        <v>63</v>
      </c>
      <c r="AC23" s="5">
        <f>AVERAGE(X23:AB23)</f>
        <v>67.400000000000006</v>
      </c>
      <c r="AD23" s="10" t="s">
        <v>105</v>
      </c>
      <c r="AE23" s="6">
        <v>45735</v>
      </c>
      <c r="AF23" s="4">
        <f>AE23-G23</f>
        <v>120</v>
      </c>
      <c r="AG23" s="4">
        <v>2</v>
      </c>
      <c r="AH23" s="4">
        <v>3</v>
      </c>
      <c r="AI23" s="11">
        <v>1.034</v>
      </c>
      <c r="AJ23" s="12">
        <v>8.3000000000000007</v>
      </c>
      <c r="AK23" s="13">
        <f>(AI23*((100-AJ23)/(100-13)))</f>
        <v>1.0898597701149424</v>
      </c>
      <c r="AL23" s="13">
        <f>(AI23*((100-AJ23)/(100-13))/5)*10000</f>
        <v>2179.7195402298848</v>
      </c>
      <c r="AM23" s="14">
        <f>AL23/1000</f>
        <v>2.1797195402298848</v>
      </c>
      <c r="AN23" s="13">
        <v>10.43</v>
      </c>
      <c r="AO23" s="13">
        <f>(AN23*((100-AJ23)/(100-13)))</f>
        <v>10.993459770114942</v>
      </c>
      <c r="AP23" s="15">
        <v>0.91</v>
      </c>
      <c r="AQ23" s="13">
        <f>(AP23*((100-AJ23)/(100-13))/5)*10000</f>
        <v>1918.3218390804595</v>
      </c>
      <c r="AR23" s="16">
        <f>((1-(AL23-AQ23)/AL23))</f>
        <v>0.88007736943907156</v>
      </c>
    </row>
    <row r="24" spans="1:44" ht="15.6" x14ac:dyDescent="0.3">
      <c r="A24" s="4">
        <v>8</v>
      </c>
      <c r="B24" s="4">
        <v>2</v>
      </c>
      <c r="C24" s="5">
        <v>23</v>
      </c>
      <c r="D24" s="4">
        <v>1</v>
      </c>
      <c r="E24" s="22" t="s">
        <v>80</v>
      </c>
      <c r="F24" s="4" t="s">
        <v>30</v>
      </c>
      <c r="G24" s="6">
        <v>45615</v>
      </c>
      <c r="H24" s="7" t="s">
        <v>104</v>
      </c>
      <c r="I24" s="6">
        <v>45669</v>
      </c>
      <c r="J24" s="4">
        <f>I24-G24</f>
        <v>54</v>
      </c>
      <c r="K24" s="4">
        <v>65</v>
      </c>
      <c r="L24" s="4">
        <v>68</v>
      </c>
      <c r="M24" s="4">
        <v>60</v>
      </c>
      <c r="N24" s="4">
        <v>69</v>
      </c>
      <c r="O24" s="4">
        <v>73</v>
      </c>
      <c r="P24" s="5">
        <f>AVERAGE(K24:O24)</f>
        <v>67</v>
      </c>
      <c r="Q24" s="8">
        <v>45728</v>
      </c>
      <c r="R24" s="4">
        <v>10</v>
      </c>
      <c r="S24" s="4">
        <v>10</v>
      </c>
      <c r="T24" s="4">
        <v>11</v>
      </c>
      <c r="U24" s="4">
        <v>12</v>
      </c>
      <c r="V24" s="4">
        <v>10</v>
      </c>
      <c r="W24" s="5">
        <f>AVERAGE(R24:V24)</f>
        <v>10.6</v>
      </c>
      <c r="X24" s="4">
        <v>98</v>
      </c>
      <c r="Y24" s="9">
        <v>89</v>
      </c>
      <c r="Z24" s="9">
        <v>99</v>
      </c>
      <c r="AA24" s="9">
        <v>79</v>
      </c>
      <c r="AB24" s="9">
        <v>84</v>
      </c>
      <c r="AC24" s="5">
        <f>AVERAGE(X24:AB24)</f>
        <v>89.8</v>
      </c>
      <c r="AD24" s="17" t="s">
        <v>106</v>
      </c>
      <c r="AE24" s="6">
        <v>45740</v>
      </c>
      <c r="AF24" s="4">
        <f>AE24-G24</f>
        <v>125</v>
      </c>
      <c r="AG24" s="4">
        <v>2</v>
      </c>
      <c r="AH24" s="4">
        <v>3</v>
      </c>
      <c r="AI24" s="11">
        <v>1.764</v>
      </c>
      <c r="AJ24" s="12">
        <v>9.1999999999999993</v>
      </c>
      <c r="AK24" s="13">
        <f>(AI24*((100-AJ24)/(100-13)))</f>
        <v>1.841048275862069</v>
      </c>
      <c r="AL24" s="13">
        <f>(AI24*((100-AJ24)/(100-13))/5)*10000</f>
        <v>3682.096551724138</v>
      </c>
      <c r="AM24" s="14">
        <f>AL24/1000</f>
        <v>3.682096551724138</v>
      </c>
      <c r="AN24" s="13">
        <v>9.3000000000000007</v>
      </c>
      <c r="AO24" s="13">
        <f>(AN24*((100-AJ24)/(100-13)))</f>
        <v>9.7062068965517252</v>
      </c>
      <c r="AP24" s="15">
        <v>1.1639999999999999</v>
      </c>
      <c r="AQ24" s="13">
        <f>(AP24*((100-AJ24)/(100-13))/5)*10000</f>
        <v>2429.6827586206896</v>
      </c>
      <c r="AR24" s="16">
        <f>((1-(AL24-AQ24)/AL24))</f>
        <v>0.65986394557823125</v>
      </c>
    </row>
    <row r="25" spans="1:44" ht="15.6" x14ac:dyDescent="0.3">
      <c r="A25" s="4">
        <v>7</v>
      </c>
      <c r="B25" s="4">
        <v>2</v>
      </c>
      <c r="C25" s="5">
        <v>24</v>
      </c>
      <c r="D25" s="4">
        <v>1</v>
      </c>
      <c r="E25" s="22" t="s">
        <v>90</v>
      </c>
      <c r="F25" s="4" t="s">
        <v>24</v>
      </c>
      <c r="G25" s="6">
        <v>45615</v>
      </c>
      <c r="H25" s="4" t="s">
        <v>103</v>
      </c>
      <c r="I25" s="6">
        <v>45660</v>
      </c>
      <c r="J25" s="4">
        <f>I25-G25</f>
        <v>45</v>
      </c>
      <c r="K25" s="4">
        <v>34</v>
      </c>
      <c r="L25" s="4">
        <v>25</v>
      </c>
      <c r="M25" s="4">
        <v>28</v>
      </c>
      <c r="N25" s="4">
        <v>31</v>
      </c>
      <c r="O25" s="4">
        <v>23</v>
      </c>
      <c r="P25" s="5">
        <f>AVERAGE(K25:O25)</f>
        <v>28.2</v>
      </c>
      <c r="Q25" s="8">
        <v>45721</v>
      </c>
      <c r="R25" s="4">
        <v>9</v>
      </c>
      <c r="S25" s="4">
        <v>9</v>
      </c>
      <c r="T25" s="4">
        <v>7</v>
      </c>
      <c r="U25" s="4">
        <v>10</v>
      </c>
      <c r="V25" s="4">
        <v>4</v>
      </c>
      <c r="W25" s="5">
        <f>AVERAGE(R25:V25)</f>
        <v>7.8</v>
      </c>
      <c r="X25" s="4">
        <v>97</v>
      </c>
      <c r="Y25" s="9">
        <v>88</v>
      </c>
      <c r="Z25" s="9">
        <v>92</v>
      </c>
      <c r="AA25" s="9">
        <v>95</v>
      </c>
      <c r="AB25" s="9">
        <v>86</v>
      </c>
      <c r="AC25" s="5">
        <f>AVERAGE(X25:AB25)</f>
        <v>91.6</v>
      </c>
      <c r="AD25" s="10" t="s">
        <v>105</v>
      </c>
      <c r="AE25" s="6">
        <v>45729</v>
      </c>
      <c r="AF25" s="4">
        <f>AE25-G25</f>
        <v>114</v>
      </c>
      <c r="AG25" s="4">
        <v>2</v>
      </c>
      <c r="AH25" s="4">
        <v>4</v>
      </c>
      <c r="AI25" s="11">
        <v>2.0760000000000001</v>
      </c>
      <c r="AJ25" s="12">
        <v>8.4</v>
      </c>
      <c r="AK25" s="13">
        <f>(AI25*((100-AJ25)/(100-13)))</f>
        <v>2.1857655172413795</v>
      </c>
      <c r="AL25" s="13">
        <f>(AI25*((100-AJ25)/(100-13))/5)*10000</f>
        <v>4371.5310344827594</v>
      </c>
      <c r="AM25" s="14">
        <f>AL25/1000</f>
        <v>4.3715310344827598</v>
      </c>
      <c r="AN25" s="13">
        <v>12.35</v>
      </c>
      <c r="AO25" s="13">
        <f>(AN25*((100-AJ25)/(100-13)))</f>
        <v>13.002988505747126</v>
      </c>
      <c r="AP25" s="15">
        <v>1.552</v>
      </c>
      <c r="AQ25" s="13">
        <f>(AP25*((100-AJ25)/(100-13))/5)*10000</f>
        <v>3268.1195402298845</v>
      </c>
      <c r="AR25" s="16">
        <f>((1-(AL25-AQ25)/AL25))</f>
        <v>0.74759152215799585</v>
      </c>
    </row>
    <row r="26" spans="1:44" ht="15.6" x14ac:dyDescent="0.3">
      <c r="A26" s="4">
        <v>6</v>
      </c>
      <c r="B26" s="4">
        <v>2</v>
      </c>
      <c r="C26" s="5">
        <v>25</v>
      </c>
      <c r="D26" s="4">
        <v>1</v>
      </c>
      <c r="E26" s="22" t="s">
        <v>102</v>
      </c>
      <c r="F26" s="4" t="s">
        <v>51</v>
      </c>
      <c r="G26" s="6">
        <v>45615</v>
      </c>
      <c r="H26" s="7" t="s">
        <v>104</v>
      </c>
      <c r="I26" s="6">
        <v>45670</v>
      </c>
      <c r="J26" s="4">
        <f>I26-G26</f>
        <v>55</v>
      </c>
      <c r="K26" s="4">
        <v>57</v>
      </c>
      <c r="L26" s="4">
        <v>68</v>
      </c>
      <c r="M26" s="4">
        <v>70</v>
      </c>
      <c r="N26" s="4">
        <v>55</v>
      </c>
      <c r="O26" s="4">
        <v>61</v>
      </c>
      <c r="P26" s="5">
        <f>AVERAGE(K26:O26)</f>
        <v>62.2</v>
      </c>
      <c r="Q26" s="8">
        <v>45729</v>
      </c>
      <c r="R26" s="4">
        <v>6</v>
      </c>
      <c r="S26" s="4">
        <v>14</v>
      </c>
      <c r="T26" s="4">
        <v>10</v>
      </c>
      <c r="U26" s="4">
        <v>11</v>
      </c>
      <c r="V26" s="4">
        <v>10</v>
      </c>
      <c r="W26" s="5">
        <f>AVERAGE(R26:V26)</f>
        <v>10.199999999999999</v>
      </c>
      <c r="X26" s="4">
        <v>79</v>
      </c>
      <c r="Y26" s="9">
        <v>68</v>
      </c>
      <c r="Z26" s="9">
        <v>61</v>
      </c>
      <c r="AA26" s="9">
        <v>70</v>
      </c>
      <c r="AB26" s="9">
        <v>58</v>
      </c>
      <c r="AC26" s="5">
        <f>AVERAGE(X26:AB26)</f>
        <v>67.2</v>
      </c>
      <c r="AD26" s="10" t="s">
        <v>105</v>
      </c>
      <c r="AE26" s="6">
        <v>45740</v>
      </c>
      <c r="AF26" s="4">
        <f>AE26-G26</f>
        <v>125</v>
      </c>
      <c r="AG26" s="4">
        <v>2</v>
      </c>
      <c r="AH26" s="4">
        <v>1</v>
      </c>
      <c r="AI26" s="11">
        <v>0.82199999999999995</v>
      </c>
      <c r="AJ26" s="12">
        <v>8.8000000000000007</v>
      </c>
      <c r="AK26" s="13">
        <f>(AI26*((100-AJ26)/(100-13)))</f>
        <v>0.86168275862068966</v>
      </c>
      <c r="AL26" s="13">
        <f>(AI26*((100-AJ26)/(100-13))/5)*10000</f>
        <v>1723.3655172413792</v>
      </c>
      <c r="AM26" s="14">
        <f>AL26/1000</f>
        <v>1.7233655172413791</v>
      </c>
      <c r="AN26" s="13">
        <v>18.260000000000002</v>
      </c>
      <c r="AO26" s="13">
        <f>(AN26*((100-AJ26)/(100-13)))</f>
        <v>19.141517241379315</v>
      </c>
      <c r="AP26" s="15">
        <v>0.36199999999999999</v>
      </c>
      <c r="AQ26" s="13">
        <f>(AP26*((100-AJ26)/(100-13))/5)*10000</f>
        <v>758.95172413793102</v>
      </c>
      <c r="AR26" s="16">
        <f>((1-(AL26-AQ26)/AL26))</f>
        <v>0.44038929440389296</v>
      </c>
    </row>
    <row r="27" spans="1:44" ht="15.6" x14ac:dyDescent="0.3">
      <c r="A27" s="4">
        <v>5</v>
      </c>
      <c r="B27" s="4">
        <v>2</v>
      </c>
      <c r="C27" s="5">
        <v>26</v>
      </c>
      <c r="D27" s="4">
        <v>1</v>
      </c>
      <c r="E27" s="22" t="s">
        <v>75</v>
      </c>
      <c r="F27" s="4" t="s">
        <v>38</v>
      </c>
      <c r="G27" s="6">
        <v>45615</v>
      </c>
      <c r="H27" s="4" t="s">
        <v>103</v>
      </c>
      <c r="I27" s="6">
        <v>45663</v>
      </c>
      <c r="J27" s="4">
        <f>I27-G27</f>
        <v>48</v>
      </c>
      <c r="K27" s="4">
        <v>52</v>
      </c>
      <c r="L27" s="4">
        <v>53</v>
      </c>
      <c r="M27" s="4">
        <v>47</v>
      </c>
      <c r="N27" s="4">
        <v>46</v>
      </c>
      <c r="O27" s="4">
        <v>51</v>
      </c>
      <c r="P27" s="5">
        <f>AVERAGE(K27:O27)</f>
        <v>49.8</v>
      </c>
      <c r="Q27" s="8">
        <v>45716</v>
      </c>
      <c r="R27" s="4">
        <v>8</v>
      </c>
      <c r="S27" s="4">
        <v>13</v>
      </c>
      <c r="T27" s="4">
        <v>9</v>
      </c>
      <c r="U27" s="4">
        <v>14</v>
      </c>
      <c r="V27" s="4">
        <v>12</v>
      </c>
      <c r="W27" s="5">
        <f>AVERAGE(R27:V27)</f>
        <v>11.2</v>
      </c>
      <c r="X27" s="4">
        <v>61</v>
      </c>
      <c r="Y27" s="9">
        <v>61</v>
      </c>
      <c r="Z27" s="9">
        <v>89</v>
      </c>
      <c r="AA27" s="9">
        <v>57</v>
      </c>
      <c r="AB27" s="9">
        <v>53</v>
      </c>
      <c r="AC27" s="5">
        <f>AVERAGE(X27:AB27)</f>
        <v>64.2</v>
      </c>
      <c r="AD27" s="10" t="s">
        <v>105</v>
      </c>
      <c r="AE27" s="6">
        <v>45727</v>
      </c>
      <c r="AF27" s="4">
        <f>AE27-G27</f>
        <v>112</v>
      </c>
      <c r="AG27" s="4">
        <v>2</v>
      </c>
      <c r="AH27" s="4">
        <v>3</v>
      </c>
      <c r="AI27" s="11">
        <v>1.4119999999999999</v>
      </c>
      <c r="AJ27" s="12">
        <v>8.5</v>
      </c>
      <c r="AK27" s="13">
        <f>(AI27*((100-AJ27)/(100-13)))</f>
        <v>1.4850344827586206</v>
      </c>
      <c r="AL27" s="13">
        <f>(AI27*((100-AJ27)/(100-13))/5)*10000</f>
        <v>2970.0689655172414</v>
      </c>
      <c r="AM27" s="14">
        <f>AL27/1000</f>
        <v>2.9700689655172412</v>
      </c>
      <c r="AN27" s="13">
        <v>15.33</v>
      </c>
      <c r="AO27" s="13">
        <f>(AN27*((100-AJ27)/(100-13)))</f>
        <v>16.122931034482757</v>
      </c>
      <c r="AP27" s="15">
        <v>0.97399999999999998</v>
      </c>
      <c r="AQ27" s="13">
        <f>(AP27*((100-AJ27)/(100-13))/5)*10000</f>
        <v>2048.7586206896553</v>
      </c>
      <c r="AR27" s="16">
        <f>((1-(AL27-AQ27)/AL27))</f>
        <v>0.68980169971671401</v>
      </c>
    </row>
    <row r="28" spans="1:44" ht="15.6" x14ac:dyDescent="0.3">
      <c r="A28" s="4">
        <v>4</v>
      </c>
      <c r="B28" s="4">
        <v>2</v>
      </c>
      <c r="C28" s="5">
        <v>27</v>
      </c>
      <c r="D28" s="4">
        <v>1</v>
      </c>
      <c r="E28" s="22" t="s">
        <v>82</v>
      </c>
      <c r="F28" s="4" t="s">
        <v>25</v>
      </c>
      <c r="G28" s="6">
        <v>45615</v>
      </c>
      <c r="H28" s="4" t="s">
        <v>103</v>
      </c>
      <c r="I28" s="6">
        <v>45663</v>
      </c>
      <c r="J28" s="4">
        <f>I28-G28</f>
        <v>48</v>
      </c>
      <c r="K28" s="4">
        <v>33</v>
      </c>
      <c r="L28" s="4">
        <v>31</v>
      </c>
      <c r="M28" s="4">
        <v>34</v>
      </c>
      <c r="N28" s="4">
        <v>41</v>
      </c>
      <c r="O28" s="4">
        <v>39</v>
      </c>
      <c r="P28" s="5">
        <f>AVERAGE(K28:O28)</f>
        <v>35.6</v>
      </c>
      <c r="Q28" s="8">
        <v>45721</v>
      </c>
      <c r="R28" s="4">
        <v>9</v>
      </c>
      <c r="S28" s="4">
        <v>14</v>
      </c>
      <c r="T28" s="4">
        <v>10</v>
      </c>
      <c r="U28" s="4">
        <v>12</v>
      </c>
      <c r="V28" s="4">
        <v>13</v>
      </c>
      <c r="W28" s="5">
        <f>AVERAGE(R28:V28)</f>
        <v>11.6</v>
      </c>
      <c r="X28" s="4">
        <v>76</v>
      </c>
      <c r="Y28" s="9">
        <v>82</v>
      </c>
      <c r="Z28" s="9">
        <v>80</v>
      </c>
      <c r="AA28" s="9">
        <v>84</v>
      </c>
      <c r="AB28" s="9">
        <v>88</v>
      </c>
      <c r="AC28" s="5">
        <f>AVERAGE(X28:AB28)</f>
        <v>82</v>
      </c>
      <c r="AD28" s="10" t="s">
        <v>105</v>
      </c>
      <c r="AE28" s="6">
        <v>45734</v>
      </c>
      <c r="AF28" s="4">
        <f>AE28-G28</f>
        <v>119</v>
      </c>
      <c r="AG28" s="4">
        <v>2</v>
      </c>
      <c r="AH28" s="4">
        <v>4</v>
      </c>
      <c r="AI28" s="11">
        <v>1.544</v>
      </c>
      <c r="AJ28" s="12">
        <v>8.1999999999999993</v>
      </c>
      <c r="AK28" s="13">
        <f>(AI28*((100-AJ28)/(100-13)))</f>
        <v>1.6291862068965517</v>
      </c>
      <c r="AL28" s="13">
        <f>(AI28*((100-AJ28)/(100-13))/5)*10000</f>
        <v>3258.3724137931035</v>
      </c>
      <c r="AM28" s="14">
        <f>AL28/1000</f>
        <v>3.2583724137931034</v>
      </c>
      <c r="AN28" s="13">
        <v>12.11</v>
      </c>
      <c r="AO28" s="13">
        <f>(AN28*((100-AJ28)/(100-13)))</f>
        <v>12.778137931034481</v>
      </c>
      <c r="AP28" s="15">
        <v>1.3220000000000001</v>
      </c>
      <c r="AQ28" s="13">
        <f>(AP28*((100-AJ28)/(100-13))/5)*10000</f>
        <v>2789.8758620689655</v>
      </c>
      <c r="AR28" s="16">
        <f>((1-(AL28-AQ28)/AL28))</f>
        <v>0.85621761658031081</v>
      </c>
    </row>
    <row r="29" spans="1:44" ht="15.6" x14ac:dyDescent="0.3">
      <c r="A29" s="4">
        <v>3</v>
      </c>
      <c r="B29" s="4">
        <v>2</v>
      </c>
      <c r="C29" s="5">
        <v>28</v>
      </c>
      <c r="D29" s="4">
        <v>1</v>
      </c>
      <c r="E29" s="22" t="s">
        <v>88</v>
      </c>
      <c r="F29" s="4" t="s">
        <v>29</v>
      </c>
      <c r="G29" s="6">
        <v>45615</v>
      </c>
      <c r="H29" s="4" t="s">
        <v>103</v>
      </c>
      <c r="I29" s="6">
        <v>45663</v>
      </c>
      <c r="J29" s="4">
        <f>I29-G29</f>
        <v>48</v>
      </c>
      <c r="K29" s="4">
        <v>31</v>
      </c>
      <c r="L29" s="4">
        <v>44</v>
      </c>
      <c r="M29" s="4">
        <v>47</v>
      </c>
      <c r="N29" s="4">
        <v>43</v>
      </c>
      <c r="O29" s="4">
        <v>40</v>
      </c>
      <c r="P29" s="5">
        <f>AVERAGE(K29:O29)</f>
        <v>41</v>
      </c>
      <c r="Q29" s="8">
        <v>45722</v>
      </c>
      <c r="R29" s="4">
        <v>7</v>
      </c>
      <c r="S29" s="4">
        <v>10</v>
      </c>
      <c r="T29" s="4">
        <v>12</v>
      </c>
      <c r="U29" s="4">
        <v>8</v>
      </c>
      <c r="V29" s="4">
        <v>10</v>
      </c>
      <c r="W29" s="5">
        <f>AVERAGE(R29:V29)</f>
        <v>9.4</v>
      </c>
      <c r="X29" s="4">
        <v>90</v>
      </c>
      <c r="Y29" s="9">
        <v>85</v>
      </c>
      <c r="Z29" s="9">
        <v>83</v>
      </c>
      <c r="AA29" s="9">
        <v>78</v>
      </c>
      <c r="AB29" s="9">
        <v>74</v>
      </c>
      <c r="AC29" s="5">
        <f>AVERAGE(X29:AB29)</f>
        <v>82</v>
      </c>
      <c r="AD29" s="10" t="s">
        <v>105</v>
      </c>
      <c r="AE29" s="6">
        <v>45735</v>
      </c>
      <c r="AF29" s="4">
        <f>AE29-G29</f>
        <v>120</v>
      </c>
      <c r="AG29" s="4">
        <v>2</v>
      </c>
      <c r="AH29" s="4">
        <v>4</v>
      </c>
      <c r="AI29" s="11">
        <v>1.75</v>
      </c>
      <c r="AJ29" s="12">
        <v>8.4</v>
      </c>
      <c r="AK29" s="13">
        <f>(AI29*((100-AJ29)/(100-13)))</f>
        <v>1.8425287356321838</v>
      </c>
      <c r="AL29" s="13">
        <f>(AI29*((100-AJ29)/(100-13))/5)*10000</f>
        <v>3685.0574712643675</v>
      </c>
      <c r="AM29" s="14">
        <f>AL29/1000</f>
        <v>3.6850574712643676</v>
      </c>
      <c r="AN29" s="13">
        <v>13.59</v>
      </c>
      <c r="AO29" s="13">
        <f>(AN29*((100-AJ29)/(100-13)))</f>
        <v>14.30855172413793</v>
      </c>
      <c r="AP29" s="15">
        <v>1.4259999999999999</v>
      </c>
      <c r="AQ29" s="13">
        <f>(AP29*((100-AJ29)/(100-13))/5)*10000</f>
        <v>3002.7954022988501</v>
      </c>
      <c r="AR29" s="16">
        <f>((1-(AL29-AQ29)/AL29))</f>
        <v>0.81485714285714284</v>
      </c>
    </row>
    <row r="30" spans="1:44" ht="15.6" x14ac:dyDescent="0.3">
      <c r="A30" s="4">
        <v>2</v>
      </c>
      <c r="B30" s="4">
        <v>2</v>
      </c>
      <c r="C30" s="5">
        <v>29</v>
      </c>
      <c r="D30" s="4">
        <v>1</v>
      </c>
      <c r="E30" s="22" t="s">
        <v>89</v>
      </c>
      <c r="F30" s="4" t="s">
        <v>43</v>
      </c>
      <c r="G30" s="6">
        <v>45615</v>
      </c>
      <c r="H30" s="7" t="s">
        <v>104</v>
      </c>
      <c r="I30" s="6">
        <v>45663</v>
      </c>
      <c r="J30" s="4">
        <f>I30-G30</f>
        <v>48</v>
      </c>
      <c r="K30" s="4">
        <v>46</v>
      </c>
      <c r="L30" s="4">
        <v>49</v>
      </c>
      <c r="M30" s="4">
        <v>48</v>
      </c>
      <c r="N30" s="4">
        <v>42</v>
      </c>
      <c r="O30" s="4">
        <v>50</v>
      </c>
      <c r="P30" s="5">
        <f>AVERAGE(K30:O30)</f>
        <v>47</v>
      </c>
      <c r="Q30" s="8">
        <v>45722</v>
      </c>
      <c r="R30" s="4">
        <v>10</v>
      </c>
      <c r="S30" s="4">
        <v>7</v>
      </c>
      <c r="T30" s="4">
        <v>14</v>
      </c>
      <c r="U30" s="4">
        <v>13</v>
      </c>
      <c r="V30" s="4">
        <v>10</v>
      </c>
      <c r="W30" s="5">
        <f>AVERAGE(R30:V30)</f>
        <v>10.8</v>
      </c>
      <c r="X30" s="4">
        <v>52</v>
      </c>
      <c r="Y30" s="9">
        <v>78</v>
      </c>
      <c r="Z30" s="9">
        <v>56</v>
      </c>
      <c r="AA30" s="9">
        <v>51</v>
      </c>
      <c r="AB30" s="9">
        <v>57</v>
      </c>
      <c r="AC30" s="5">
        <f>AVERAGE(X30:AB30)</f>
        <v>58.8</v>
      </c>
      <c r="AD30" s="17" t="s">
        <v>106</v>
      </c>
      <c r="AE30" s="6">
        <v>45734</v>
      </c>
      <c r="AF30" s="4">
        <f>AE30-G30</f>
        <v>119</v>
      </c>
      <c r="AG30" s="4">
        <v>2</v>
      </c>
      <c r="AH30" s="4">
        <v>3</v>
      </c>
      <c r="AI30" s="11">
        <v>1.286</v>
      </c>
      <c r="AJ30" s="12">
        <v>5.6</v>
      </c>
      <c r="AK30" s="13">
        <f>(AI30*((100-AJ30)/(100-13)))</f>
        <v>1.3953839080459771</v>
      </c>
      <c r="AL30" s="13">
        <f>(AI30*((100-AJ30)/(100-13))/5)*10000</f>
        <v>2790.767816091954</v>
      </c>
      <c r="AM30" s="14">
        <f>AL30/1000</f>
        <v>2.7907678160919542</v>
      </c>
      <c r="AN30" s="13">
        <v>14.37</v>
      </c>
      <c r="AO30" s="13">
        <f>(AN30*((100-AJ30)/(100-13)))</f>
        <v>15.592275862068966</v>
      </c>
      <c r="AP30" s="15">
        <v>0.94799999999999995</v>
      </c>
      <c r="AQ30" s="13">
        <f>(AP30*((100-AJ30)/(100-13))/5)*10000</f>
        <v>2057.2689655172412</v>
      </c>
      <c r="AR30" s="16">
        <f>((1-(AL30-AQ30)/AL30))</f>
        <v>0.73716951788491447</v>
      </c>
    </row>
    <row r="31" spans="1:44" ht="15.6" x14ac:dyDescent="0.3">
      <c r="A31" s="4">
        <v>1</v>
      </c>
      <c r="B31" s="4">
        <v>2</v>
      </c>
      <c r="C31" s="5">
        <v>30</v>
      </c>
      <c r="D31" s="4">
        <v>1</v>
      </c>
      <c r="E31" s="22" t="s">
        <v>91</v>
      </c>
      <c r="F31" s="4" t="s">
        <v>50</v>
      </c>
      <c r="G31" s="6">
        <v>45615</v>
      </c>
      <c r="H31" s="4" t="s">
        <v>103</v>
      </c>
      <c r="I31" s="6">
        <v>45676</v>
      </c>
      <c r="J31" s="4">
        <f>I31-G31</f>
        <v>61</v>
      </c>
      <c r="K31" s="4">
        <v>50</v>
      </c>
      <c r="L31" s="4">
        <v>53</v>
      </c>
      <c r="M31" s="4">
        <v>63</v>
      </c>
      <c r="N31" s="4">
        <v>71</v>
      </c>
      <c r="O31" s="4">
        <v>70</v>
      </c>
      <c r="P31" s="5">
        <f>AVERAGE(K31:O31)</f>
        <v>61.4</v>
      </c>
      <c r="Q31" s="8">
        <v>45729</v>
      </c>
      <c r="R31" s="4">
        <v>15</v>
      </c>
      <c r="S31" s="4">
        <v>13</v>
      </c>
      <c r="T31" s="4">
        <v>8</v>
      </c>
      <c r="U31" s="4">
        <v>7</v>
      </c>
      <c r="V31" s="4">
        <v>16</v>
      </c>
      <c r="W31" s="5">
        <f>AVERAGE(R31:V31)</f>
        <v>11.8</v>
      </c>
      <c r="X31" s="4">
        <v>83</v>
      </c>
      <c r="Y31" s="9">
        <v>87</v>
      </c>
      <c r="Z31" s="9">
        <v>77</v>
      </c>
      <c r="AA31" s="9">
        <v>83</v>
      </c>
      <c r="AB31" s="9">
        <v>71</v>
      </c>
      <c r="AC31" s="5">
        <f>AVERAGE(X31:AB31)</f>
        <v>80.2</v>
      </c>
      <c r="AD31" s="17" t="s">
        <v>106</v>
      </c>
      <c r="AE31" s="6">
        <v>45740</v>
      </c>
      <c r="AF31" s="4">
        <f>AE31-G31</f>
        <v>125</v>
      </c>
      <c r="AG31" s="4">
        <v>3</v>
      </c>
      <c r="AH31" s="4">
        <v>3</v>
      </c>
      <c r="AI31" s="11">
        <v>0.83</v>
      </c>
      <c r="AJ31" s="12">
        <v>8.9</v>
      </c>
      <c r="AK31" s="13">
        <f>(AI31*((100-AJ31)/(100-13)))</f>
        <v>0.86911494252873556</v>
      </c>
      <c r="AL31" s="13">
        <f>(AI31*((100-AJ31)/(100-13))/5)*10000</f>
        <v>1738.2298850574712</v>
      </c>
      <c r="AM31" s="14">
        <f>AL31/1000</f>
        <v>1.7382298850574711</v>
      </c>
      <c r="AN31" s="13">
        <v>8.48</v>
      </c>
      <c r="AO31" s="13">
        <f>(AN31*((100-AJ31)/(100-13)))</f>
        <v>8.8796321839080452</v>
      </c>
      <c r="AP31" s="15">
        <v>0.22800000000000001</v>
      </c>
      <c r="AQ31" s="13">
        <f>(AP31*((100-AJ31)/(100-13))/5)*10000</f>
        <v>477.48965517241379</v>
      </c>
      <c r="AR31" s="16">
        <f>((1-(AL31-AQ31)/AL31))</f>
        <v>0.27469879518072282</v>
      </c>
    </row>
    <row r="32" spans="1:44" ht="15.6" x14ac:dyDescent="0.3">
      <c r="A32" s="4">
        <v>1</v>
      </c>
      <c r="B32" s="4">
        <v>3</v>
      </c>
      <c r="C32" s="5">
        <v>31</v>
      </c>
      <c r="D32" s="4">
        <v>2</v>
      </c>
      <c r="E32" s="22" t="s">
        <v>78</v>
      </c>
      <c r="F32" s="4" t="s">
        <v>35</v>
      </c>
      <c r="G32" s="6">
        <v>45615</v>
      </c>
      <c r="H32" s="4" t="s">
        <v>103</v>
      </c>
      <c r="I32" s="6">
        <v>45663</v>
      </c>
      <c r="J32" s="4">
        <f>I32-G32</f>
        <v>48</v>
      </c>
      <c r="K32" s="4">
        <v>28</v>
      </c>
      <c r="L32" s="4">
        <v>32</v>
      </c>
      <c r="M32" s="4">
        <v>37</v>
      </c>
      <c r="N32" s="4">
        <v>28</v>
      </c>
      <c r="O32" s="4">
        <v>33</v>
      </c>
      <c r="P32" s="5">
        <f>AVERAGE(K32:O32)</f>
        <v>31.6</v>
      </c>
      <c r="Q32" s="8">
        <v>45721</v>
      </c>
      <c r="R32" s="4">
        <v>12</v>
      </c>
      <c r="S32" s="4">
        <v>10</v>
      </c>
      <c r="T32" s="4">
        <v>10</v>
      </c>
      <c r="U32" s="4">
        <v>13</v>
      </c>
      <c r="V32" s="4">
        <v>8</v>
      </c>
      <c r="W32" s="5">
        <f>AVERAGE(R32:V32)</f>
        <v>10.6</v>
      </c>
      <c r="X32" s="4">
        <v>96</v>
      </c>
      <c r="Y32" s="9">
        <v>79</v>
      </c>
      <c r="Z32" s="9">
        <v>73</v>
      </c>
      <c r="AA32" s="9">
        <v>62</v>
      </c>
      <c r="AB32" s="9">
        <v>73</v>
      </c>
      <c r="AC32" s="5">
        <f>AVERAGE(X32:AB32)</f>
        <v>76.599999999999994</v>
      </c>
      <c r="AD32" s="10" t="s">
        <v>105</v>
      </c>
      <c r="AE32" s="6">
        <v>45730</v>
      </c>
      <c r="AF32" s="4">
        <f>AE32-G32</f>
        <v>115</v>
      </c>
      <c r="AG32" s="4">
        <v>2</v>
      </c>
      <c r="AH32" s="4">
        <v>4</v>
      </c>
      <c r="AI32" s="11">
        <v>1.3759999999999999</v>
      </c>
      <c r="AJ32" s="12">
        <v>9.1</v>
      </c>
      <c r="AK32" s="13">
        <f>(AI32*((100-AJ32)/(100-13)))</f>
        <v>1.4376827586206895</v>
      </c>
      <c r="AL32" s="13">
        <f>(AI32*((100-AJ32)/(100-13))/5)*10000</f>
        <v>2875.3655172413787</v>
      </c>
      <c r="AM32" s="14">
        <f>AL32/1000</f>
        <v>2.8753655172413786</v>
      </c>
      <c r="AN32" s="13">
        <v>11.92</v>
      </c>
      <c r="AO32" s="13">
        <f>(AN32*((100-AJ32)/(100-13)))</f>
        <v>12.454344827586207</v>
      </c>
      <c r="AP32" s="15">
        <v>1.0960000000000001</v>
      </c>
      <c r="AQ32" s="13">
        <f>(AP32*((100-AJ32)/(100-13))/5)*10000</f>
        <v>2290.2620689655178</v>
      </c>
      <c r="AR32" s="16">
        <f>((1-(AL32-AQ32)/AL32))</f>
        <v>0.79651162790697705</v>
      </c>
    </row>
    <row r="33" spans="1:44" ht="15.6" x14ac:dyDescent="0.3">
      <c r="A33" s="4">
        <v>2</v>
      </c>
      <c r="B33" s="4">
        <v>3</v>
      </c>
      <c r="C33" s="5">
        <v>32</v>
      </c>
      <c r="D33" s="4">
        <v>2</v>
      </c>
      <c r="E33" s="22" t="s">
        <v>77</v>
      </c>
      <c r="F33" s="4" t="s">
        <v>45</v>
      </c>
      <c r="G33" s="6">
        <v>45615</v>
      </c>
      <c r="H33" s="4" t="s">
        <v>103</v>
      </c>
      <c r="I33" s="6">
        <v>45669</v>
      </c>
      <c r="J33" s="4">
        <f>I33-G33</f>
        <v>54</v>
      </c>
      <c r="K33" s="4">
        <v>72</v>
      </c>
      <c r="L33" s="4">
        <v>60</v>
      </c>
      <c r="M33" s="4">
        <v>60</v>
      </c>
      <c r="N33" s="4">
        <v>89</v>
      </c>
      <c r="O33" s="4">
        <v>82</v>
      </c>
      <c r="P33" s="5">
        <f>AVERAGE(K33:O33)</f>
        <v>72.599999999999994</v>
      </c>
      <c r="Q33" s="8">
        <v>45724</v>
      </c>
      <c r="R33" s="4">
        <v>12</v>
      </c>
      <c r="S33" s="4">
        <v>13</v>
      </c>
      <c r="T33" s="4">
        <v>8</v>
      </c>
      <c r="U33" s="4">
        <v>9</v>
      </c>
      <c r="V33" s="4">
        <v>12</v>
      </c>
      <c r="W33" s="5">
        <f>AVERAGE(R33:V33)</f>
        <v>10.8</v>
      </c>
      <c r="X33" s="4">
        <v>102</v>
      </c>
      <c r="Y33" s="9"/>
      <c r="Z33" s="9">
        <v>94</v>
      </c>
      <c r="AA33" s="9">
        <v>90</v>
      </c>
      <c r="AB33" s="9">
        <v>94</v>
      </c>
      <c r="AC33" s="5">
        <f>AVERAGE(X33:AB33)</f>
        <v>95</v>
      </c>
      <c r="AD33" s="17" t="s">
        <v>106</v>
      </c>
      <c r="AE33" s="6">
        <v>45734</v>
      </c>
      <c r="AF33" s="4">
        <f>AE33-G33</f>
        <v>119</v>
      </c>
      <c r="AG33" s="4">
        <v>3</v>
      </c>
      <c r="AH33" s="4">
        <v>4</v>
      </c>
      <c r="AI33" s="11">
        <v>1.228</v>
      </c>
      <c r="AJ33" s="12">
        <v>8.8000000000000007</v>
      </c>
      <c r="AK33" s="13">
        <f>(AI33*((100-AJ33)/(100-13)))</f>
        <v>1.2872827586206899</v>
      </c>
      <c r="AL33" s="13">
        <f>(AI33*((100-AJ33)/(100-13))/5)*10000</f>
        <v>2574.5655172413794</v>
      </c>
      <c r="AM33" s="14">
        <f>AL33/1000</f>
        <v>2.5745655172413793</v>
      </c>
      <c r="AN33" s="13">
        <v>10.43</v>
      </c>
      <c r="AO33" s="13">
        <f>(AN33*((100-AJ33)/(100-13)))</f>
        <v>10.933517241379311</v>
      </c>
      <c r="AP33" s="15">
        <v>0.91400000000000003</v>
      </c>
      <c r="AQ33" s="13">
        <f>(AP33*((100-AJ33)/(100-13))/5)*10000</f>
        <v>1916.2482758620692</v>
      </c>
      <c r="AR33" s="16">
        <f>((1-(AL33-AQ33)/AL33))</f>
        <v>0.74429967426710109</v>
      </c>
    </row>
    <row r="34" spans="1:44" ht="15.6" x14ac:dyDescent="0.3">
      <c r="A34" s="4">
        <v>3</v>
      </c>
      <c r="B34" s="4">
        <v>3</v>
      </c>
      <c r="C34" s="5">
        <v>33</v>
      </c>
      <c r="D34" s="4">
        <v>2</v>
      </c>
      <c r="E34" s="22" t="s">
        <v>94</v>
      </c>
      <c r="F34" s="4" t="s">
        <v>27</v>
      </c>
      <c r="G34" s="6">
        <v>45615</v>
      </c>
      <c r="H34" s="7" t="s">
        <v>104</v>
      </c>
      <c r="I34" s="6">
        <v>45656</v>
      </c>
      <c r="J34" s="4">
        <f>I34-G34</f>
        <v>41</v>
      </c>
      <c r="K34" s="4">
        <v>25</v>
      </c>
      <c r="L34" s="4">
        <v>17</v>
      </c>
      <c r="M34" s="4">
        <v>25</v>
      </c>
      <c r="N34" s="4">
        <v>28</v>
      </c>
      <c r="O34" s="4">
        <v>28</v>
      </c>
      <c r="P34" s="5">
        <f>AVERAGE(K34:O34)</f>
        <v>24.6</v>
      </c>
      <c r="Q34" s="8">
        <v>45727</v>
      </c>
      <c r="R34" s="4">
        <v>13</v>
      </c>
      <c r="S34" s="4">
        <v>10</v>
      </c>
      <c r="T34" s="4">
        <v>12</v>
      </c>
      <c r="U34" s="4">
        <v>10</v>
      </c>
      <c r="V34" s="4">
        <v>10</v>
      </c>
      <c r="W34" s="5">
        <f>AVERAGE(R34:V34)</f>
        <v>11</v>
      </c>
      <c r="X34" s="4">
        <v>76</v>
      </c>
      <c r="Y34" s="9"/>
      <c r="Z34" s="9">
        <v>76</v>
      </c>
      <c r="AA34" s="9">
        <v>77</v>
      </c>
      <c r="AB34" s="9">
        <v>85</v>
      </c>
      <c r="AC34" s="5">
        <f>AVERAGE(X34:AB34)</f>
        <v>78.5</v>
      </c>
      <c r="AD34" s="10" t="s">
        <v>105</v>
      </c>
      <c r="AE34" s="6">
        <v>45740</v>
      </c>
      <c r="AF34" s="4">
        <f>AE34-G34</f>
        <v>125</v>
      </c>
      <c r="AG34" s="4">
        <v>2</v>
      </c>
      <c r="AH34" s="4">
        <v>4</v>
      </c>
      <c r="AI34" s="11">
        <v>1.8520000000000001</v>
      </c>
      <c r="AJ34" s="12">
        <v>8.3000000000000007</v>
      </c>
      <c r="AK34" s="13">
        <f>(AI34*((100-AJ34)/(100-13)))</f>
        <v>1.9520505747126435</v>
      </c>
      <c r="AL34" s="13">
        <f>(AI34*((100-AJ34)/(100-13))/5)*10000</f>
        <v>3904.1011494252871</v>
      </c>
      <c r="AM34" s="14">
        <f>AL34/1000</f>
        <v>3.9041011494252871</v>
      </c>
      <c r="AN34" s="13">
        <v>14</v>
      </c>
      <c r="AO34" s="13">
        <f>(AN34*((100-AJ34)/(100-13)))</f>
        <v>14.756321839080458</v>
      </c>
      <c r="AP34" s="15">
        <v>1.5680000000000001</v>
      </c>
      <c r="AQ34" s="13">
        <f>(AP34*((100-AJ34)/(100-13))/5)*10000</f>
        <v>3305.4160919540227</v>
      </c>
      <c r="AR34" s="16">
        <f>((1-(AL34-AQ34)/AL34))</f>
        <v>0.8466522678185745</v>
      </c>
    </row>
    <row r="35" spans="1:44" ht="15.6" x14ac:dyDescent="0.3">
      <c r="A35" s="4">
        <v>4</v>
      </c>
      <c r="B35" s="4">
        <v>3</v>
      </c>
      <c r="C35" s="5">
        <v>34</v>
      </c>
      <c r="D35" s="4">
        <v>2</v>
      </c>
      <c r="E35" s="22" t="s">
        <v>86</v>
      </c>
      <c r="F35" s="4" t="s">
        <v>26</v>
      </c>
      <c r="G35" s="6">
        <v>45615</v>
      </c>
      <c r="H35" s="4" t="s">
        <v>103</v>
      </c>
      <c r="I35" s="6">
        <v>45665</v>
      </c>
      <c r="J35" s="4">
        <f>I35-G35</f>
        <v>50</v>
      </c>
      <c r="K35" s="4">
        <v>49</v>
      </c>
      <c r="L35" s="4">
        <v>35</v>
      </c>
      <c r="M35" s="4">
        <v>54</v>
      </c>
      <c r="N35" s="4">
        <v>51</v>
      </c>
      <c r="O35" s="4">
        <v>56</v>
      </c>
      <c r="P35" s="5">
        <f>AVERAGE(K35:O35)</f>
        <v>49</v>
      </c>
      <c r="Q35" s="8">
        <v>45727</v>
      </c>
      <c r="R35" s="4">
        <v>13</v>
      </c>
      <c r="S35" s="4">
        <v>15</v>
      </c>
      <c r="T35" s="4">
        <v>8</v>
      </c>
      <c r="U35" s="4">
        <v>16</v>
      </c>
      <c r="V35" s="4">
        <v>11</v>
      </c>
      <c r="W35" s="5">
        <f>AVERAGE(R35:V35)</f>
        <v>12.6</v>
      </c>
      <c r="X35" s="4">
        <v>64</v>
      </c>
      <c r="Y35" s="9">
        <v>78</v>
      </c>
      <c r="Z35" s="9">
        <v>68</v>
      </c>
      <c r="AA35" s="9">
        <v>87</v>
      </c>
      <c r="AB35" s="9">
        <v>76</v>
      </c>
      <c r="AC35" s="5">
        <f>AVERAGE(X35:AB35)</f>
        <v>74.599999999999994</v>
      </c>
      <c r="AD35" s="10" t="s">
        <v>105</v>
      </c>
      <c r="AE35" s="6">
        <v>45740</v>
      </c>
      <c r="AF35" s="4">
        <f>AE35-G35</f>
        <v>125</v>
      </c>
      <c r="AG35" s="4">
        <v>2</v>
      </c>
      <c r="AH35" s="4">
        <v>3</v>
      </c>
      <c r="AI35" s="11">
        <v>2.016</v>
      </c>
      <c r="AJ35" s="12">
        <v>8.8000000000000007</v>
      </c>
      <c r="AK35" s="13">
        <f>(AI35*((100-AJ35)/(100-13)))</f>
        <v>2.1133241379310346</v>
      </c>
      <c r="AL35" s="13">
        <f>(AI35*((100-AJ35)/(100-13))/5)*10000</f>
        <v>4226.6482758620696</v>
      </c>
      <c r="AM35" s="14">
        <f>AL35/1000</f>
        <v>4.2266482758620691</v>
      </c>
      <c r="AN35" s="13">
        <v>14.28</v>
      </c>
      <c r="AO35" s="13">
        <f>(AN35*((100-AJ35)/(100-13)))</f>
        <v>14.969379310344829</v>
      </c>
      <c r="AP35" s="15">
        <v>1.764</v>
      </c>
      <c r="AQ35" s="13">
        <f>(AP35*((100-AJ35)/(100-13))/5)*10000</f>
        <v>3698.3172413793109</v>
      </c>
      <c r="AR35" s="16">
        <f>((1-(AL35-AQ35)/AL35))</f>
        <v>0.875</v>
      </c>
    </row>
    <row r="36" spans="1:44" ht="15.6" x14ac:dyDescent="0.3">
      <c r="A36" s="4">
        <v>5</v>
      </c>
      <c r="B36" s="4">
        <v>3</v>
      </c>
      <c r="C36" s="5">
        <v>35</v>
      </c>
      <c r="D36" s="4">
        <v>2</v>
      </c>
      <c r="E36" s="22" t="s">
        <v>82</v>
      </c>
      <c r="F36" s="4" t="s">
        <v>25</v>
      </c>
      <c r="G36" s="6">
        <v>45615</v>
      </c>
      <c r="H36" s="4" t="s">
        <v>103</v>
      </c>
      <c r="I36" s="6">
        <v>45663</v>
      </c>
      <c r="J36" s="4">
        <f>I36-G36</f>
        <v>48</v>
      </c>
      <c r="K36" s="4">
        <v>41</v>
      </c>
      <c r="L36" s="4">
        <v>47</v>
      </c>
      <c r="M36" s="4">
        <v>44</v>
      </c>
      <c r="N36" s="4">
        <v>47</v>
      </c>
      <c r="O36" s="4">
        <v>53</v>
      </c>
      <c r="P36" s="5">
        <f>AVERAGE(K36:O36)</f>
        <v>46.4</v>
      </c>
      <c r="Q36" s="8">
        <v>45719</v>
      </c>
      <c r="R36" s="4">
        <v>10</v>
      </c>
      <c r="S36" s="4">
        <v>10</v>
      </c>
      <c r="T36" s="4">
        <v>10</v>
      </c>
      <c r="U36" s="4">
        <v>8</v>
      </c>
      <c r="V36" s="4">
        <v>9</v>
      </c>
      <c r="W36" s="5">
        <f>AVERAGE(R36:V36)</f>
        <v>9.4</v>
      </c>
      <c r="X36" s="4">
        <v>100</v>
      </c>
      <c r="Y36" s="9">
        <v>98</v>
      </c>
      <c r="Z36" s="9">
        <v>100</v>
      </c>
      <c r="AA36" s="9">
        <v>85</v>
      </c>
      <c r="AB36" s="9">
        <v>96</v>
      </c>
      <c r="AC36" s="5">
        <f>AVERAGE(X36:AB36)</f>
        <v>95.8</v>
      </c>
      <c r="AD36" s="10" t="s">
        <v>105</v>
      </c>
      <c r="AE36" s="6">
        <v>45730</v>
      </c>
      <c r="AF36" s="4">
        <f>AE36-G36</f>
        <v>115</v>
      </c>
      <c r="AG36" s="4">
        <v>2</v>
      </c>
      <c r="AH36" s="4">
        <v>3</v>
      </c>
      <c r="AI36" s="11">
        <v>2.044</v>
      </c>
      <c r="AJ36" s="12">
        <v>8.6999999999999993</v>
      </c>
      <c r="AK36" s="13">
        <f>(AI36*((100-AJ36)/(100-13)))</f>
        <v>2.1450252873563218</v>
      </c>
      <c r="AL36" s="13">
        <f>(AI36*((100-AJ36)/(100-13))/5)*10000</f>
        <v>4290.0505747126435</v>
      </c>
      <c r="AM36" s="14">
        <f>AL36/1000</f>
        <v>4.2900505747126436</v>
      </c>
      <c r="AN36" s="13">
        <v>13.76</v>
      </c>
      <c r="AO36" s="13">
        <f>(AN36*((100-AJ36)/(100-13)))</f>
        <v>14.440091954022989</v>
      </c>
      <c r="AP36" s="15">
        <v>1.84</v>
      </c>
      <c r="AQ36" s="13">
        <f>(AP36*((100-AJ36)/(100-13))/5)*10000</f>
        <v>3861.8850574712646</v>
      </c>
      <c r="AR36" s="16">
        <f>((1-(AL36-AQ36)/AL36))</f>
        <v>0.90019569471624272</v>
      </c>
    </row>
    <row r="37" spans="1:44" ht="15.6" x14ac:dyDescent="0.3">
      <c r="A37" s="4">
        <v>6</v>
      </c>
      <c r="B37" s="4">
        <v>3</v>
      </c>
      <c r="C37" s="5">
        <v>36</v>
      </c>
      <c r="D37" s="4">
        <v>2</v>
      </c>
      <c r="E37" s="22" t="s">
        <v>81</v>
      </c>
      <c r="F37" s="4" t="s">
        <v>28</v>
      </c>
      <c r="G37" s="6">
        <v>45615</v>
      </c>
      <c r="H37" s="7" t="s">
        <v>104</v>
      </c>
      <c r="I37" s="6">
        <v>45666</v>
      </c>
      <c r="J37" s="4">
        <f>I37-G37</f>
        <v>51</v>
      </c>
      <c r="K37" s="4">
        <v>52</v>
      </c>
      <c r="L37" s="4">
        <v>49</v>
      </c>
      <c r="M37" s="4">
        <v>54</v>
      </c>
      <c r="N37" s="4">
        <v>47</v>
      </c>
      <c r="O37" s="4">
        <v>55</v>
      </c>
      <c r="P37" s="5">
        <f>AVERAGE(K37:O37)</f>
        <v>51.4</v>
      </c>
      <c r="Q37" s="8">
        <v>45727</v>
      </c>
      <c r="R37" s="4">
        <v>11</v>
      </c>
      <c r="S37" s="4">
        <v>6</v>
      </c>
      <c r="T37" s="4">
        <v>12</v>
      </c>
      <c r="U37" s="4">
        <v>10</v>
      </c>
      <c r="V37" s="4">
        <v>9</v>
      </c>
      <c r="W37" s="5">
        <f>AVERAGE(R37:V37)</f>
        <v>9.6</v>
      </c>
      <c r="X37" s="4">
        <v>48</v>
      </c>
      <c r="Y37" s="9">
        <v>81</v>
      </c>
      <c r="Z37" s="9">
        <v>73</v>
      </c>
      <c r="AA37" s="9">
        <v>85</v>
      </c>
      <c r="AB37" s="9">
        <v>86</v>
      </c>
      <c r="AC37" s="5">
        <f>AVERAGE(X37:AB37)</f>
        <v>74.599999999999994</v>
      </c>
      <c r="AD37" s="17" t="s">
        <v>106</v>
      </c>
      <c r="AE37" s="6">
        <v>45740</v>
      </c>
      <c r="AF37" s="4">
        <f>AE37-G37</f>
        <v>125</v>
      </c>
      <c r="AG37" s="4">
        <v>2</v>
      </c>
      <c r="AH37" s="4">
        <v>3</v>
      </c>
      <c r="AI37" s="11">
        <v>1.8560000000000001</v>
      </c>
      <c r="AJ37" s="12">
        <v>8.6999999999999993</v>
      </c>
      <c r="AK37" s="13">
        <f>(AI37*((100-AJ37)/(100-13)))</f>
        <v>1.9477333333333335</v>
      </c>
      <c r="AL37" s="13">
        <f>(AI37*((100-AJ37)/(100-13))/5)*10000</f>
        <v>3895.4666666666672</v>
      </c>
      <c r="AM37" s="14">
        <f>AL37/1000</f>
        <v>3.8954666666666671</v>
      </c>
      <c r="AN37" s="13">
        <v>12.42</v>
      </c>
      <c r="AO37" s="13">
        <f>(AN37*((100-AJ37)/(100-13)))</f>
        <v>13.033862068965519</v>
      </c>
      <c r="AP37" s="15">
        <v>1.3520000000000001</v>
      </c>
      <c r="AQ37" s="13">
        <f>(AP37*((100-AJ37)/(100-13))/5)*10000</f>
        <v>2837.6459770114948</v>
      </c>
      <c r="AR37" s="16">
        <f>((1-(AL37-AQ37)/AL37))</f>
        <v>0.72844827586206895</v>
      </c>
    </row>
    <row r="38" spans="1:44" ht="15.6" x14ac:dyDescent="0.3">
      <c r="A38" s="4">
        <v>7</v>
      </c>
      <c r="B38" s="4">
        <v>3</v>
      </c>
      <c r="C38" s="5">
        <v>37</v>
      </c>
      <c r="D38" s="4">
        <v>2</v>
      </c>
      <c r="E38" s="22" t="s">
        <v>84</v>
      </c>
      <c r="F38" s="4" t="s">
        <v>41</v>
      </c>
      <c r="G38" s="6">
        <v>45615</v>
      </c>
      <c r="H38" s="4" t="s">
        <v>103</v>
      </c>
      <c r="I38" s="6">
        <v>45669</v>
      </c>
      <c r="J38" s="4">
        <f>I38-G38</f>
        <v>54</v>
      </c>
      <c r="K38" s="4">
        <v>58</v>
      </c>
      <c r="L38" s="4">
        <v>79</v>
      </c>
      <c r="M38" s="4">
        <v>73</v>
      </c>
      <c r="N38" s="4">
        <v>70</v>
      </c>
      <c r="O38" s="4">
        <v>66</v>
      </c>
      <c r="P38" s="5">
        <f>AVERAGE(K38:O38)</f>
        <v>69.2</v>
      </c>
      <c r="Q38" s="8">
        <v>45729</v>
      </c>
      <c r="R38" s="4">
        <v>7</v>
      </c>
      <c r="S38" s="4">
        <v>7</v>
      </c>
      <c r="T38" s="4">
        <v>9</v>
      </c>
      <c r="U38" s="4">
        <v>9</v>
      </c>
      <c r="V38" s="4">
        <v>8</v>
      </c>
      <c r="W38" s="5">
        <f>AVERAGE(R38:V38)</f>
        <v>8</v>
      </c>
      <c r="X38" s="4">
        <v>92</v>
      </c>
      <c r="Y38" s="9">
        <v>101</v>
      </c>
      <c r="Z38" s="9">
        <v>97</v>
      </c>
      <c r="AA38" s="9">
        <v>81</v>
      </c>
      <c r="AB38" s="9">
        <v>90</v>
      </c>
      <c r="AC38" s="5">
        <f>AVERAGE(X38:AB38)</f>
        <v>92.2</v>
      </c>
      <c r="AD38" s="17" t="s">
        <v>106</v>
      </c>
      <c r="AE38" s="6">
        <v>45740</v>
      </c>
      <c r="AF38" s="4">
        <f>AE38-G38</f>
        <v>125</v>
      </c>
      <c r="AG38" s="4">
        <v>2</v>
      </c>
      <c r="AH38" s="4">
        <v>3</v>
      </c>
      <c r="AI38" s="11">
        <v>1.3220000000000001</v>
      </c>
      <c r="AJ38" s="12">
        <v>9</v>
      </c>
      <c r="AK38" s="13">
        <f>(AI38*((100-AJ38)/(100-13)))</f>
        <v>1.3827816091954024</v>
      </c>
      <c r="AL38" s="13">
        <f>(AI38*((100-AJ38)/(100-13))/5)*10000</f>
        <v>2765.5632183908046</v>
      </c>
      <c r="AM38" s="14">
        <f>AL38/1000</f>
        <v>2.7655632183908048</v>
      </c>
      <c r="AN38" s="13">
        <v>9.93</v>
      </c>
      <c r="AO38" s="13">
        <f>(AN38*((100-AJ38)/(100-13)))</f>
        <v>10.386551724137931</v>
      </c>
      <c r="AP38" s="15">
        <v>1.0880000000000001</v>
      </c>
      <c r="AQ38" s="13">
        <f>(AP38*((100-AJ38)/(100-13))/5)*10000</f>
        <v>2276.0459770114944</v>
      </c>
      <c r="AR38" s="16">
        <f>((1-(AL38-AQ38)/AL38))</f>
        <v>0.82299546142208779</v>
      </c>
    </row>
    <row r="39" spans="1:44" ht="15.6" x14ac:dyDescent="0.3">
      <c r="A39" s="4">
        <v>8</v>
      </c>
      <c r="B39" s="4">
        <v>3</v>
      </c>
      <c r="C39" s="5">
        <v>38</v>
      </c>
      <c r="D39" s="4">
        <v>2</v>
      </c>
      <c r="E39" s="22" t="s">
        <v>75</v>
      </c>
      <c r="F39" s="4" t="s">
        <v>38</v>
      </c>
      <c r="G39" s="6">
        <v>45615</v>
      </c>
      <c r="H39" s="4" t="s">
        <v>103</v>
      </c>
      <c r="I39" s="6">
        <v>45665</v>
      </c>
      <c r="J39" s="4">
        <f>I39-G39</f>
        <v>50</v>
      </c>
      <c r="K39" s="4">
        <v>46</v>
      </c>
      <c r="L39" s="4">
        <v>46</v>
      </c>
      <c r="M39" s="4">
        <v>44</v>
      </c>
      <c r="N39" s="4">
        <v>41</v>
      </c>
      <c r="O39" s="4">
        <v>32</v>
      </c>
      <c r="P39" s="5">
        <f>AVERAGE(K39:O39)</f>
        <v>41.8</v>
      </c>
      <c r="Q39" s="8">
        <v>45719</v>
      </c>
      <c r="R39" s="4">
        <v>5</v>
      </c>
      <c r="S39" s="4">
        <v>9</v>
      </c>
      <c r="T39" s="4">
        <v>8</v>
      </c>
      <c r="U39" s="4">
        <v>10</v>
      </c>
      <c r="V39" s="4">
        <v>10</v>
      </c>
      <c r="W39" s="5">
        <f>AVERAGE(R39:V39)</f>
        <v>8.4</v>
      </c>
      <c r="X39" s="4">
        <v>90</v>
      </c>
      <c r="Y39" s="9">
        <v>92</v>
      </c>
      <c r="Z39" s="9">
        <v>51</v>
      </c>
      <c r="AA39" s="9">
        <v>56</v>
      </c>
      <c r="AB39" s="9">
        <v>51</v>
      </c>
      <c r="AC39" s="5">
        <f>AVERAGE(X39:AB39)</f>
        <v>68</v>
      </c>
      <c r="AD39" s="10" t="s">
        <v>105</v>
      </c>
      <c r="AE39" s="6">
        <v>45727</v>
      </c>
      <c r="AF39" s="4">
        <f>AE39-G39</f>
        <v>112</v>
      </c>
      <c r="AG39" s="4">
        <v>3</v>
      </c>
      <c r="AH39" s="4">
        <v>2</v>
      </c>
      <c r="AI39" s="11">
        <v>1.464</v>
      </c>
      <c r="AJ39" s="12">
        <v>8.6999999999999993</v>
      </c>
      <c r="AK39" s="13">
        <f>(AI39*((100-AJ39)/(100-13)))</f>
        <v>1.5363586206896551</v>
      </c>
      <c r="AL39" s="13">
        <f>(AI39*((100-AJ39)/(100-13))/5)*10000</f>
        <v>3072.7172413793101</v>
      </c>
      <c r="AM39" s="14">
        <f>AL39/1000</f>
        <v>3.0727172413793102</v>
      </c>
      <c r="AN39" s="13">
        <v>14.59</v>
      </c>
      <c r="AO39" s="13">
        <f>(AN39*((100-AJ39)/(100-13)))</f>
        <v>15.311114942528736</v>
      </c>
      <c r="AP39" s="15">
        <v>1.27</v>
      </c>
      <c r="AQ39" s="13">
        <f>(AP39*((100-AJ39)/(100-13))/5)*10000</f>
        <v>2665.5402298850577</v>
      </c>
      <c r="AR39" s="16">
        <f>((1-(AL39-AQ39)/AL39))</f>
        <v>0.86748633879781434</v>
      </c>
    </row>
    <row r="40" spans="1:44" ht="15.6" x14ac:dyDescent="0.3">
      <c r="A40" s="4">
        <v>9</v>
      </c>
      <c r="B40" s="4">
        <v>3</v>
      </c>
      <c r="C40" s="5">
        <v>39</v>
      </c>
      <c r="D40" s="4">
        <v>2</v>
      </c>
      <c r="E40" s="22" t="s">
        <v>76</v>
      </c>
      <c r="F40" s="4" t="s">
        <v>31</v>
      </c>
      <c r="G40" s="6">
        <v>45615</v>
      </c>
      <c r="H40" s="7" t="s">
        <v>104</v>
      </c>
      <c r="I40" s="6">
        <v>45656</v>
      </c>
      <c r="J40" s="4">
        <f>I40-G40</f>
        <v>41</v>
      </c>
      <c r="K40" s="4">
        <v>21</v>
      </c>
      <c r="L40" s="4">
        <v>25</v>
      </c>
      <c r="M40" s="4">
        <v>17</v>
      </c>
      <c r="N40" s="4">
        <v>30</v>
      </c>
      <c r="O40" s="4">
        <v>28</v>
      </c>
      <c r="P40" s="5">
        <f>AVERAGE(K40:O40)</f>
        <v>24.2</v>
      </c>
      <c r="Q40" s="8">
        <v>45719</v>
      </c>
      <c r="R40" s="4">
        <v>11</v>
      </c>
      <c r="S40" s="4">
        <v>15</v>
      </c>
      <c r="T40" s="4">
        <v>9</v>
      </c>
      <c r="U40" s="4">
        <v>15</v>
      </c>
      <c r="V40" s="4">
        <v>11</v>
      </c>
      <c r="W40" s="5">
        <f>AVERAGE(R40:V40)</f>
        <v>12.2</v>
      </c>
      <c r="X40" s="4">
        <v>90</v>
      </c>
      <c r="Y40" s="9">
        <v>85</v>
      </c>
      <c r="Z40" s="9">
        <v>71</v>
      </c>
      <c r="AA40" s="9">
        <v>97</v>
      </c>
      <c r="AB40" s="9">
        <v>92</v>
      </c>
      <c r="AC40" s="5">
        <f>AVERAGE(X40:AB40)</f>
        <v>87</v>
      </c>
      <c r="AD40" s="10" t="s">
        <v>105</v>
      </c>
      <c r="AE40" s="6">
        <v>45727</v>
      </c>
      <c r="AF40" s="4">
        <f>AE40-G40</f>
        <v>112</v>
      </c>
      <c r="AG40" s="4">
        <v>2</v>
      </c>
      <c r="AH40" s="4">
        <v>3</v>
      </c>
      <c r="AI40" s="11">
        <v>1.75</v>
      </c>
      <c r="AJ40" s="12">
        <v>8.6999999999999993</v>
      </c>
      <c r="AK40" s="13">
        <f>(AI40*((100-AJ40)/(100-13)))</f>
        <v>1.8364942528735633</v>
      </c>
      <c r="AL40" s="13">
        <f>(AI40*((100-AJ40)/(100-13))/5)*10000</f>
        <v>3672.988505747127</v>
      </c>
      <c r="AM40" s="14">
        <f>AL40/1000</f>
        <v>3.672988505747127</v>
      </c>
      <c r="AN40" s="13">
        <v>12.87</v>
      </c>
      <c r="AO40" s="13">
        <f>(AN40*((100-AJ40)/(100-13)))</f>
        <v>13.506103448275862</v>
      </c>
      <c r="AP40" s="15">
        <v>1.4159999999999999</v>
      </c>
      <c r="AQ40" s="13">
        <f>(AP40*((100-AJ40)/(100-13))/5)*10000</f>
        <v>2971.9724137931034</v>
      </c>
      <c r="AR40" s="16">
        <f>((1-(AL40-AQ40)/AL40))</f>
        <v>0.80914285714285705</v>
      </c>
    </row>
    <row r="41" spans="1:44" ht="15.6" x14ac:dyDescent="0.3">
      <c r="A41" s="4">
        <v>10</v>
      </c>
      <c r="B41" s="4">
        <v>3</v>
      </c>
      <c r="C41" s="5">
        <v>40</v>
      </c>
      <c r="D41" s="4">
        <v>2</v>
      </c>
      <c r="E41" s="22" t="s">
        <v>79</v>
      </c>
      <c r="F41" s="4" t="s">
        <v>34</v>
      </c>
      <c r="G41" s="6">
        <v>45615</v>
      </c>
      <c r="H41" s="7" t="s">
        <v>104</v>
      </c>
      <c r="I41" s="6">
        <v>45669</v>
      </c>
      <c r="J41" s="4">
        <f>I41-G41</f>
        <v>54</v>
      </c>
      <c r="K41" s="4">
        <v>94</v>
      </c>
      <c r="L41" s="4">
        <v>55</v>
      </c>
      <c r="M41" s="4">
        <v>95</v>
      </c>
      <c r="N41" s="4">
        <v>79</v>
      </c>
      <c r="O41" s="4">
        <v>68</v>
      </c>
      <c r="P41" s="5">
        <f>AVERAGE(K41:O41)</f>
        <v>78.2</v>
      </c>
      <c r="Q41" s="8">
        <v>45727</v>
      </c>
      <c r="R41" s="4">
        <v>8</v>
      </c>
      <c r="S41" s="4">
        <v>16</v>
      </c>
      <c r="T41" s="4">
        <v>6</v>
      </c>
      <c r="U41" s="4">
        <v>13</v>
      </c>
      <c r="V41" s="4">
        <v>9</v>
      </c>
      <c r="W41" s="5">
        <f>AVERAGE(R41:V41)</f>
        <v>10.4</v>
      </c>
      <c r="X41" s="4">
        <v>70</v>
      </c>
      <c r="Y41" s="9">
        <v>91</v>
      </c>
      <c r="Z41" s="9">
        <v>88</v>
      </c>
      <c r="AA41" s="9">
        <v>90</v>
      </c>
      <c r="AB41" s="9">
        <v>85</v>
      </c>
      <c r="AC41" s="5">
        <f>AVERAGE(X41:AB41)</f>
        <v>84.8</v>
      </c>
      <c r="AD41" s="17" t="s">
        <v>106</v>
      </c>
      <c r="AE41" s="6">
        <v>45734</v>
      </c>
      <c r="AF41" s="4">
        <f>AE41-G41</f>
        <v>119</v>
      </c>
      <c r="AG41" s="4">
        <v>3</v>
      </c>
      <c r="AH41" s="4">
        <v>3</v>
      </c>
      <c r="AI41" s="11">
        <v>1.6759999999999999</v>
      </c>
      <c r="AJ41" s="12">
        <v>9</v>
      </c>
      <c r="AK41" s="13">
        <f>(AI41*((100-AJ41)/(100-13)))</f>
        <v>1.7530574712643676</v>
      </c>
      <c r="AL41" s="13">
        <f>(AI41*((100-AJ41)/(100-13))/5)*10000</f>
        <v>3506.1149425287354</v>
      </c>
      <c r="AM41" s="14">
        <f>AL41/1000</f>
        <v>3.5061149425287352</v>
      </c>
      <c r="AN41" s="13">
        <v>10.16</v>
      </c>
      <c r="AO41" s="13">
        <f>(AN41*((100-AJ41)/(100-13)))</f>
        <v>10.627126436781609</v>
      </c>
      <c r="AP41" s="15">
        <v>1.4319999999999999</v>
      </c>
      <c r="AQ41" s="13">
        <f>(AP41*((100-AJ41)/(100-13))/5)*10000</f>
        <v>2995.67816091954</v>
      </c>
      <c r="AR41" s="16">
        <f>((1-(AL41-AQ41)/AL41))</f>
        <v>0.85441527446300713</v>
      </c>
    </row>
    <row r="42" spans="1:44" ht="15.6" x14ac:dyDescent="0.3">
      <c r="A42" s="4">
        <v>11</v>
      </c>
      <c r="B42" s="4">
        <v>3</v>
      </c>
      <c r="C42" s="5">
        <v>41</v>
      </c>
      <c r="D42" s="4">
        <v>2</v>
      </c>
      <c r="E42" s="22" t="s">
        <v>85</v>
      </c>
      <c r="F42" s="4" t="s">
        <v>36</v>
      </c>
      <c r="G42" s="6">
        <v>45615</v>
      </c>
      <c r="H42" s="4" t="s">
        <v>103</v>
      </c>
      <c r="I42" s="6">
        <v>45669</v>
      </c>
      <c r="J42" s="4">
        <f>I42-G42</f>
        <v>54</v>
      </c>
      <c r="K42" s="4">
        <v>62</v>
      </c>
      <c r="L42" s="4">
        <v>65</v>
      </c>
      <c r="M42" s="4">
        <v>69</v>
      </c>
      <c r="N42" s="4">
        <v>78</v>
      </c>
      <c r="O42" s="4">
        <v>67</v>
      </c>
      <c r="P42" s="5">
        <f>AVERAGE(K42:O42)</f>
        <v>68.2</v>
      </c>
      <c r="Q42" s="8">
        <v>45727</v>
      </c>
      <c r="R42" s="4">
        <v>14</v>
      </c>
      <c r="S42" s="4">
        <v>17</v>
      </c>
      <c r="T42" s="4">
        <v>18</v>
      </c>
      <c r="U42" s="4">
        <v>20</v>
      </c>
      <c r="V42" s="4">
        <v>21</v>
      </c>
      <c r="W42" s="5">
        <f>AVERAGE(R42:V42)</f>
        <v>18</v>
      </c>
      <c r="X42" s="4">
        <v>94</v>
      </c>
      <c r="Y42" s="9">
        <v>92</v>
      </c>
      <c r="Z42" s="9">
        <v>99</v>
      </c>
      <c r="AA42" s="9">
        <v>80</v>
      </c>
      <c r="AB42" s="9">
        <v>88</v>
      </c>
      <c r="AC42" s="5">
        <f>AVERAGE(X42:AB42)</f>
        <v>90.6</v>
      </c>
      <c r="AD42" s="17" t="s">
        <v>106</v>
      </c>
      <c r="AE42" s="6">
        <v>45734</v>
      </c>
      <c r="AF42" s="4">
        <f>AE42-G42</f>
        <v>119</v>
      </c>
      <c r="AG42" s="4">
        <v>3</v>
      </c>
      <c r="AH42" s="4">
        <v>3</v>
      </c>
      <c r="AI42" s="11">
        <v>1.1180000000000001</v>
      </c>
      <c r="AJ42" s="12">
        <v>6.1</v>
      </c>
      <c r="AK42" s="13">
        <f>(AI42*((100-AJ42)/(100-13)))</f>
        <v>1.2066689655172416</v>
      </c>
      <c r="AL42" s="13">
        <f>(AI42*((100-AJ42)/(100-13))/5)*10000</f>
        <v>2413.3379310344831</v>
      </c>
      <c r="AM42" s="14">
        <f>AL42/1000</f>
        <v>2.4133379310344831</v>
      </c>
      <c r="AN42" s="13">
        <v>9.57</v>
      </c>
      <c r="AO42" s="13">
        <f>(AN42*((100-AJ42)/(100-13)))</f>
        <v>10.329000000000001</v>
      </c>
      <c r="AP42" s="15">
        <v>0.88600000000000001</v>
      </c>
      <c r="AQ42" s="13">
        <f>(AP42*((100-AJ42)/(100-13))/5)*10000</f>
        <v>1912.5379310344829</v>
      </c>
      <c r="AR42" s="16">
        <f>((1-(AL42-AQ42)/AL42))</f>
        <v>0.79248658318425758</v>
      </c>
    </row>
    <row r="43" spans="1:44" ht="15.6" x14ac:dyDescent="0.3">
      <c r="A43" s="4">
        <v>12</v>
      </c>
      <c r="B43" s="4">
        <v>3</v>
      </c>
      <c r="C43" s="5">
        <v>42</v>
      </c>
      <c r="D43" s="4">
        <v>2</v>
      </c>
      <c r="E43" s="22" t="s">
        <v>93</v>
      </c>
      <c r="F43" s="4" t="s">
        <v>42</v>
      </c>
      <c r="G43" s="6">
        <v>45615</v>
      </c>
      <c r="H43" s="4" t="s">
        <v>103</v>
      </c>
      <c r="I43" s="6">
        <v>45669</v>
      </c>
      <c r="J43" s="4">
        <f>I43-G43</f>
        <v>54</v>
      </c>
      <c r="K43" s="4">
        <v>63</v>
      </c>
      <c r="L43" s="4">
        <v>61</v>
      </c>
      <c r="M43" s="4">
        <v>44</v>
      </c>
      <c r="N43" s="4">
        <v>60</v>
      </c>
      <c r="O43" s="4">
        <v>50</v>
      </c>
      <c r="P43" s="5">
        <f>AVERAGE(K43:O43)</f>
        <v>55.6</v>
      </c>
      <c r="Q43" s="8">
        <v>45729</v>
      </c>
      <c r="R43" s="4">
        <v>4</v>
      </c>
      <c r="S43" s="4">
        <v>11</v>
      </c>
      <c r="T43" s="4">
        <v>12</v>
      </c>
      <c r="U43" s="4">
        <v>10</v>
      </c>
      <c r="V43" s="4">
        <v>11</v>
      </c>
      <c r="W43" s="5">
        <f>AVERAGE(R43:V43)</f>
        <v>9.6</v>
      </c>
      <c r="X43" s="4">
        <v>74</v>
      </c>
      <c r="Y43" s="9">
        <v>59</v>
      </c>
      <c r="Z43" s="9">
        <v>61</v>
      </c>
      <c r="AA43" s="9">
        <v>80</v>
      </c>
      <c r="AB43" s="9">
        <v>99</v>
      </c>
      <c r="AC43" s="5">
        <f>AVERAGE(X43:AB43)</f>
        <v>74.599999999999994</v>
      </c>
      <c r="AD43" s="17" t="s">
        <v>106</v>
      </c>
      <c r="AE43" s="6">
        <v>45740</v>
      </c>
      <c r="AF43" s="4">
        <f>AE43-G43</f>
        <v>125</v>
      </c>
      <c r="AG43" s="4">
        <v>2</v>
      </c>
      <c r="AH43" s="4">
        <v>2</v>
      </c>
      <c r="AI43" s="11">
        <v>1.3819999999999999</v>
      </c>
      <c r="AJ43" s="12">
        <v>8.9</v>
      </c>
      <c r="AK43" s="13">
        <f>(AI43*((100-AJ43)/(100-13)))</f>
        <v>1.4471287356321836</v>
      </c>
      <c r="AL43" s="13">
        <f>(AI43*((100-AJ43)/(100-13))/5)*10000</f>
        <v>2894.2574712643673</v>
      </c>
      <c r="AM43" s="14">
        <f>AL43/1000</f>
        <v>2.8942574712643672</v>
      </c>
      <c r="AN43" s="13">
        <v>9.89</v>
      </c>
      <c r="AO43" s="13">
        <f>(AN43*((100-AJ43)/(100-13)))</f>
        <v>10.356080459770114</v>
      </c>
      <c r="AP43" s="15">
        <v>1.044</v>
      </c>
      <c r="AQ43" s="13">
        <f>(AP43*((100-AJ43)/(100-13))/5)*10000</f>
        <v>2186.4</v>
      </c>
      <c r="AR43" s="16">
        <f>((1-(AL43-AQ43)/AL43))</f>
        <v>0.755426917510854</v>
      </c>
    </row>
    <row r="44" spans="1:44" ht="15.6" x14ac:dyDescent="0.3">
      <c r="A44" s="4">
        <v>13</v>
      </c>
      <c r="B44" s="4">
        <v>3</v>
      </c>
      <c r="C44" s="5">
        <v>43</v>
      </c>
      <c r="D44" s="4">
        <v>2</v>
      </c>
      <c r="E44" s="22" t="s">
        <v>92</v>
      </c>
      <c r="F44" s="4" t="s">
        <v>39</v>
      </c>
      <c r="G44" s="6">
        <v>45615</v>
      </c>
      <c r="H44" s="4" t="s">
        <v>103</v>
      </c>
      <c r="I44" s="6">
        <v>45675</v>
      </c>
      <c r="J44" s="4">
        <f>I44-G44</f>
        <v>60</v>
      </c>
      <c r="K44" s="4">
        <v>53</v>
      </c>
      <c r="L44" s="4">
        <v>60</v>
      </c>
      <c r="M44" s="4">
        <v>73</v>
      </c>
      <c r="N44" s="4">
        <v>69</v>
      </c>
      <c r="O44" s="4">
        <v>78</v>
      </c>
      <c r="P44" s="5">
        <f>AVERAGE(K44:O44)</f>
        <v>66.599999999999994</v>
      </c>
      <c r="Q44" s="8">
        <v>45736</v>
      </c>
      <c r="R44" s="4">
        <v>13</v>
      </c>
      <c r="S44" s="4">
        <v>15</v>
      </c>
      <c r="T44" s="4">
        <v>15</v>
      </c>
      <c r="U44" s="4">
        <v>9</v>
      </c>
      <c r="V44" s="4">
        <v>10</v>
      </c>
      <c r="W44" s="5">
        <f>AVERAGE(R44:V44)</f>
        <v>12.4</v>
      </c>
      <c r="X44" s="4">
        <v>92</v>
      </c>
      <c r="Y44" s="9">
        <v>83</v>
      </c>
      <c r="Z44" s="9">
        <v>69</v>
      </c>
      <c r="AA44" s="9">
        <v>70</v>
      </c>
      <c r="AB44" s="9">
        <v>85</v>
      </c>
      <c r="AC44" s="5">
        <f>AVERAGE(X44:AB44)</f>
        <v>79.8</v>
      </c>
      <c r="AD44" s="17" t="s">
        <v>106</v>
      </c>
      <c r="AE44" s="6">
        <v>45740</v>
      </c>
      <c r="AF44" s="4">
        <f>AE44-G44</f>
        <v>125</v>
      </c>
      <c r="AG44" s="4">
        <v>1</v>
      </c>
      <c r="AH44" s="4">
        <v>3</v>
      </c>
      <c r="AI44" s="11">
        <v>1.46</v>
      </c>
      <c r="AJ44" s="12">
        <v>8.8000000000000007</v>
      </c>
      <c r="AK44" s="13">
        <f>(AI44*((100-AJ44)/(100-13)))</f>
        <v>1.5304827586206897</v>
      </c>
      <c r="AL44" s="13">
        <f>(AI44*((100-AJ44)/(100-13))/5)*10000</f>
        <v>3060.9655172413795</v>
      </c>
      <c r="AM44" s="14">
        <f>AL44/1000</f>
        <v>3.0609655172413794</v>
      </c>
      <c r="AN44" s="13">
        <v>9.41</v>
      </c>
      <c r="AO44" s="13">
        <f>(AN44*((100-AJ44)/(100-13)))</f>
        <v>9.8642758620689666</v>
      </c>
      <c r="AP44" s="15">
        <v>1.0780000000000001</v>
      </c>
      <c r="AQ44" s="13">
        <f>(AP44*((100-AJ44)/(100-13))/5)*10000</f>
        <v>2260.0827586206901</v>
      </c>
      <c r="AR44" s="16">
        <f>((1-(AL44-AQ44)/AL44))</f>
        <v>0.73835616438356166</v>
      </c>
    </row>
    <row r="45" spans="1:44" ht="15.6" x14ac:dyDescent="0.3">
      <c r="A45" s="4">
        <v>14</v>
      </c>
      <c r="B45" s="4">
        <v>3</v>
      </c>
      <c r="C45" s="5">
        <v>44</v>
      </c>
      <c r="D45" s="4">
        <v>2</v>
      </c>
      <c r="E45" s="22" t="s">
        <v>73</v>
      </c>
      <c r="F45" s="4" t="s">
        <v>23</v>
      </c>
      <c r="G45" s="6">
        <v>45615</v>
      </c>
      <c r="H45" s="7" t="s">
        <v>104</v>
      </c>
      <c r="I45" s="6">
        <v>45663</v>
      </c>
      <c r="J45" s="4">
        <f>I45-G45</f>
        <v>48</v>
      </c>
      <c r="K45" s="4">
        <v>40</v>
      </c>
      <c r="L45" s="4">
        <v>32</v>
      </c>
      <c r="M45" s="4">
        <v>33</v>
      </c>
      <c r="N45" s="4">
        <v>46</v>
      </c>
      <c r="O45" s="4">
        <v>45</v>
      </c>
      <c r="P45" s="5">
        <f>AVERAGE(K45:O45)</f>
        <v>39.200000000000003</v>
      </c>
      <c r="Q45" s="8">
        <v>45721</v>
      </c>
      <c r="R45" s="4">
        <v>14</v>
      </c>
      <c r="S45" s="4">
        <v>17</v>
      </c>
      <c r="T45" s="4">
        <v>15</v>
      </c>
      <c r="U45" s="4">
        <v>15</v>
      </c>
      <c r="V45" s="4">
        <v>20</v>
      </c>
      <c r="W45" s="5">
        <f>AVERAGE(R45:V45)</f>
        <v>16.2</v>
      </c>
      <c r="X45" s="4">
        <v>103</v>
      </c>
      <c r="Y45" s="9">
        <v>86</v>
      </c>
      <c r="Z45" s="9">
        <v>100</v>
      </c>
      <c r="AA45" s="9">
        <v>97</v>
      </c>
      <c r="AB45" s="9">
        <v>93</v>
      </c>
      <c r="AC45" s="5">
        <f>AVERAGE(X45:AB45)</f>
        <v>95.8</v>
      </c>
      <c r="AD45" s="10" t="s">
        <v>105</v>
      </c>
      <c r="AE45" s="6">
        <v>45740</v>
      </c>
      <c r="AF45" s="4">
        <f>AE45-G45</f>
        <v>125</v>
      </c>
      <c r="AG45" s="4">
        <v>2</v>
      </c>
      <c r="AH45" s="4">
        <v>4</v>
      </c>
      <c r="AI45" s="11">
        <v>2.238</v>
      </c>
      <c r="AJ45" s="12">
        <v>8.6</v>
      </c>
      <c r="AK45" s="13">
        <f>(AI45*((100-AJ45)/(100-13)))</f>
        <v>2.3511862068965517</v>
      </c>
      <c r="AL45" s="13">
        <f>(AI45*((100-AJ45)/(100-13))/5)*10000</f>
        <v>4702.3724137931031</v>
      </c>
      <c r="AM45" s="14">
        <f>AL45/1000</f>
        <v>4.7023724137931033</v>
      </c>
      <c r="AN45" s="13">
        <v>13.86</v>
      </c>
      <c r="AO45" s="13">
        <f>(AN45*((100-AJ45)/(100-13)))</f>
        <v>14.56096551724138</v>
      </c>
      <c r="AP45" s="15">
        <v>2.004</v>
      </c>
      <c r="AQ45" s="13">
        <f>(AP45*((100-AJ45)/(100-13))/5)*10000</f>
        <v>4210.7034482758618</v>
      </c>
      <c r="AR45" s="16">
        <f>((1-(AL45-AQ45)/AL45))</f>
        <v>0.8954423592493298</v>
      </c>
    </row>
    <row r="46" spans="1:44" ht="15.6" x14ac:dyDescent="0.3">
      <c r="A46" s="4">
        <v>15</v>
      </c>
      <c r="B46" s="4">
        <v>3</v>
      </c>
      <c r="C46" s="5">
        <v>45</v>
      </c>
      <c r="D46" s="4">
        <v>2</v>
      </c>
      <c r="E46" s="22" t="s">
        <v>97</v>
      </c>
      <c r="F46" s="4" t="s">
        <v>32</v>
      </c>
      <c r="G46" s="6">
        <v>45615</v>
      </c>
      <c r="H46" s="4" t="s">
        <v>103</v>
      </c>
      <c r="I46" s="6">
        <v>45673</v>
      </c>
      <c r="J46" s="4">
        <f>I46-G46</f>
        <v>58</v>
      </c>
      <c r="K46" s="4">
        <v>55</v>
      </c>
      <c r="L46" s="4">
        <v>57</v>
      </c>
      <c r="M46" s="4">
        <v>60</v>
      </c>
      <c r="N46" s="4">
        <v>60</v>
      </c>
      <c r="O46" s="4">
        <v>60</v>
      </c>
      <c r="P46" s="5">
        <f>AVERAGE(K46:O46)</f>
        <v>58.4</v>
      </c>
      <c r="Q46" s="8">
        <v>45721</v>
      </c>
      <c r="R46" s="4">
        <v>9</v>
      </c>
      <c r="S46" s="4">
        <v>15</v>
      </c>
      <c r="T46" s="4">
        <v>12</v>
      </c>
      <c r="U46" s="4">
        <v>8</v>
      </c>
      <c r="V46" s="4">
        <v>11</v>
      </c>
      <c r="W46" s="5">
        <f>AVERAGE(R46:V46)</f>
        <v>11</v>
      </c>
      <c r="X46" s="4">
        <v>92</v>
      </c>
      <c r="Y46" s="9">
        <v>67</v>
      </c>
      <c r="Z46" s="9">
        <v>64</v>
      </c>
      <c r="AA46" s="9">
        <v>104</v>
      </c>
      <c r="AB46" s="9">
        <v>97</v>
      </c>
      <c r="AC46" s="5">
        <f>AVERAGE(X46:AB46)</f>
        <v>84.8</v>
      </c>
      <c r="AD46" s="17" t="s">
        <v>106</v>
      </c>
      <c r="AE46" s="6">
        <v>45740</v>
      </c>
      <c r="AF46" s="4">
        <f>AE46-G46</f>
        <v>125</v>
      </c>
      <c r="AG46" s="4">
        <v>2</v>
      </c>
      <c r="AH46" s="4">
        <v>3</v>
      </c>
      <c r="AI46" s="11">
        <v>1.2</v>
      </c>
      <c r="AJ46" s="12">
        <v>8.9</v>
      </c>
      <c r="AK46" s="13">
        <f>(AI46*((100-AJ46)/(100-13)))</f>
        <v>1.2565517241379309</v>
      </c>
      <c r="AL46" s="13">
        <f>(AI46*((100-AJ46)/(100-13))/5)*10000</f>
        <v>2513.1034482758619</v>
      </c>
      <c r="AM46" s="14">
        <f>AL46/1000</f>
        <v>2.5131034482758619</v>
      </c>
      <c r="AN46" s="13">
        <v>8.16</v>
      </c>
      <c r="AO46" s="13">
        <f>(AN46*((100-AJ46)/(100-13)))</f>
        <v>8.5445517241379303</v>
      </c>
      <c r="AP46" s="15">
        <v>1.0860000000000001</v>
      </c>
      <c r="AQ46" s="13">
        <f>(AP46*((100-AJ46)/(100-13))/5)*10000</f>
        <v>2274.3586206896553</v>
      </c>
      <c r="AR46" s="16">
        <f>((1-(AL46-AQ46)/AL46))</f>
        <v>0.90500000000000014</v>
      </c>
    </row>
    <row r="47" spans="1:44" ht="15.6" x14ac:dyDescent="0.3">
      <c r="A47" s="4">
        <v>1</v>
      </c>
      <c r="B47" s="4">
        <v>4</v>
      </c>
      <c r="C47" s="5">
        <v>46</v>
      </c>
      <c r="D47" s="4">
        <v>2</v>
      </c>
      <c r="E47" s="22" t="s">
        <v>90</v>
      </c>
      <c r="F47" s="4" t="s">
        <v>24</v>
      </c>
      <c r="G47" s="6">
        <v>45615</v>
      </c>
      <c r="H47" s="4" t="s">
        <v>103</v>
      </c>
      <c r="I47" s="6">
        <v>45663</v>
      </c>
      <c r="J47" s="4">
        <f>I47-G47</f>
        <v>48</v>
      </c>
      <c r="K47" s="4">
        <v>42</v>
      </c>
      <c r="L47" s="4">
        <v>46</v>
      </c>
      <c r="M47" s="4">
        <v>35</v>
      </c>
      <c r="N47" s="4">
        <v>42</v>
      </c>
      <c r="O47" s="4">
        <v>39</v>
      </c>
      <c r="P47" s="5">
        <f>AVERAGE(K47:O47)</f>
        <v>40.799999999999997</v>
      </c>
      <c r="Q47" s="8">
        <v>45719</v>
      </c>
      <c r="R47" s="4">
        <v>4</v>
      </c>
      <c r="S47" s="4">
        <v>6</v>
      </c>
      <c r="T47" s="4">
        <v>8</v>
      </c>
      <c r="U47" s="4">
        <v>10</v>
      </c>
      <c r="V47" s="4">
        <v>10</v>
      </c>
      <c r="W47" s="5">
        <f>AVERAGE(R47:V47)</f>
        <v>7.6</v>
      </c>
      <c r="X47" s="4">
        <v>103</v>
      </c>
      <c r="Y47" s="9">
        <v>100</v>
      </c>
      <c r="Z47" s="9">
        <v>100</v>
      </c>
      <c r="AA47" s="9">
        <v>90</v>
      </c>
      <c r="AB47" s="9">
        <v>84</v>
      </c>
      <c r="AC47" s="5">
        <f>AVERAGE(X47:AB47)</f>
        <v>95.4</v>
      </c>
      <c r="AD47" s="10" t="s">
        <v>105</v>
      </c>
      <c r="AE47" s="6">
        <v>45729</v>
      </c>
      <c r="AF47" s="4">
        <f>AE47-G47</f>
        <v>114</v>
      </c>
      <c r="AG47" s="4">
        <v>3</v>
      </c>
      <c r="AH47" s="4">
        <v>3</v>
      </c>
      <c r="AI47" s="11">
        <v>1.1200000000000001</v>
      </c>
      <c r="AJ47" s="12">
        <v>8.4</v>
      </c>
      <c r="AK47" s="13">
        <f>(AI47*((100-AJ47)/(100-13)))</f>
        <v>1.1792183908045977</v>
      </c>
      <c r="AL47" s="13">
        <f>(AI47*((100-AJ47)/(100-13))/5)*10000</f>
        <v>2358.4367816091954</v>
      </c>
      <c r="AM47" s="14">
        <f>AL47/1000</f>
        <v>2.3584367816091953</v>
      </c>
      <c r="AN47" s="13">
        <v>11.49</v>
      </c>
      <c r="AO47" s="13">
        <f>(AN47*((100-AJ47)/(100-13)))</f>
        <v>12.097517241379309</v>
      </c>
      <c r="AP47" s="15">
        <v>0.95799999999999996</v>
      </c>
      <c r="AQ47" s="13">
        <f>(AP47*((100-AJ47)/(100-13))/5)*10000</f>
        <v>2017.3057471264367</v>
      </c>
      <c r="AR47" s="16">
        <f>((1-(AL47-AQ47)/AL47))</f>
        <v>0.85535714285714282</v>
      </c>
    </row>
    <row r="48" spans="1:44" ht="15.6" x14ac:dyDescent="0.3">
      <c r="A48" s="4">
        <v>2</v>
      </c>
      <c r="B48" s="4">
        <v>4</v>
      </c>
      <c r="C48" s="5">
        <v>47</v>
      </c>
      <c r="D48" s="4">
        <v>2</v>
      </c>
      <c r="E48" s="22" t="s">
        <v>95</v>
      </c>
      <c r="F48" s="4" t="s">
        <v>52</v>
      </c>
      <c r="G48" s="6">
        <v>45615</v>
      </c>
      <c r="H48" s="7" t="s">
        <v>104</v>
      </c>
      <c r="I48" s="6">
        <v>45673</v>
      </c>
      <c r="J48" s="4">
        <f>I48-G48</f>
        <v>58</v>
      </c>
      <c r="K48" s="7">
        <v>39</v>
      </c>
      <c r="L48" s="7">
        <v>35</v>
      </c>
      <c r="M48" s="7">
        <v>40</v>
      </c>
      <c r="N48" s="4">
        <v>41</v>
      </c>
      <c r="O48" s="4">
        <v>45</v>
      </c>
      <c r="P48" s="5">
        <f>AVERAGE(K48:O48)</f>
        <v>40</v>
      </c>
      <c r="Q48" s="8">
        <v>45721</v>
      </c>
      <c r="R48" s="4">
        <v>10</v>
      </c>
      <c r="S48" s="4">
        <v>17</v>
      </c>
      <c r="T48" s="4">
        <v>11</v>
      </c>
      <c r="U48" s="4">
        <v>14</v>
      </c>
      <c r="V48" s="4">
        <v>16</v>
      </c>
      <c r="W48" s="5">
        <f>AVERAGE(R48:V48)</f>
        <v>13.6</v>
      </c>
      <c r="X48" s="4">
        <v>86</v>
      </c>
      <c r="Y48" s="9">
        <v>71</v>
      </c>
      <c r="Z48" s="9">
        <v>77</v>
      </c>
      <c r="AA48" s="9">
        <v>85</v>
      </c>
      <c r="AB48" s="9">
        <v>67</v>
      </c>
      <c r="AC48" s="5">
        <f>AVERAGE(X48:AB48)</f>
        <v>77.2</v>
      </c>
      <c r="AD48" s="17" t="s">
        <v>106</v>
      </c>
      <c r="AE48" s="6">
        <v>45734</v>
      </c>
      <c r="AF48" s="4">
        <f>AE48-G48</f>
        <v>119</v>
      </c>
      <c r="AG48" s="4">
        <v>2</v>
      </c>
      <c r="AH48" s="4">
        <v>3</v>
      </c>
      <c r="AI48" s="11">
        <v>0.73</v>
      </c>
      <c r="AJ48" s="12">
        <v>9</v>
      </c>
      <c r="AK48" s="13">
        <f>(AI48*((100-AJ48)/(100-13)))</f>
        <v>0.76356321839080454</v>
      </c>
      <c r="AL48" s="13">
        <f>(AI48*((100-AJ48)/(100-13))/5)*10000</f>
        <v>1527.1264367816091</v>
      </c>
      <c r="AM48" s="14">
        <f>AL48/1000</f>
        <v>1.5271264367816091</v>
      </c>
      <c r="AN48" s="13">
        <v>7.64</v>
      </c>
      <c r="AO48" s="13">
        <f>(AN48*((100-AJ48)/(100-13)))</f>
        <v>7.9912643678160915</v>
      </c>
      <c r="AP48" s="15">
        <v>0.61</v>
      </c>
      <c r="AQ48" s="13">
        <f>(AP48*((100-AJ48)/(100-13))/5)*10000</f>
        <v>1276.0919540229884</v>
      </c>
      <c r="AR48" s="16">
        <f>((1-(AL48-AQ48)/AL48))</f>
        <v>0.83561643835616439</v>
      </c>
    </row>
    <row r="49" spans="1:44" ht="15.6" x14ac:dyDescent="0.3">
      <c r="A49" s="4">
        <v>3</v>
      </c>
      <c r="B49" s="4">
        <v>4</v>
      </c>
      <c r="C49" s="5">
        <v>48</v>
      </c>
      <c r="D49" s="4">
        <v>2</v>
      </c>
      <c r="E49" s="22" t="s">
        <v>80</v>
      </c>
      <c r="F49" s="4" t="s">
        <v>30</v>
      </c>
      <c r="G49" s="6">
        <v>45615</v>
      </c>
      <c r="H49" s="7" t="s">
        <v>104</v>
      </c>
      <c r="I49" s="6">
        <v>45673</v>
      </c>
      <c r="J49" s="4">
        <f>I49-G49</f>
        <v>58</v>
      </c>
      <c r="K49" s="4">
        <v>54</v>
      </c>
      <c r="L49" s="4">
        <v>59</v>
      </c>
      <c r="M49" s="4">
        <v>55</v>
      </c>
      <c r="N49" s="4">
        <v>61</v>
      </c>
      <c r="O49" s="4">
        <v>56</v>
      </c>
      <c r="P49" s="5">
        <f>AVERAGE(K49:O49)</f>
        <v>57</v>
      </c>
      <c r="Q49" s="8">
        <v>45729</v>
      </c>
      <c r="R49" s="4">
        <v>5</v>
      </c>
      <c r="S49" s="4">
        <v>9</v>
      </c>
      <c r="T49" s="4">
        <v>6</v>
      </c>
      <c r="U49" s="4">
        <v>7</v>
      </c>
      <c r="V49" s="4">
        <v>9</v>
      </c>
      <c r="W49" s="5">
        <f>AVERAGE(R49:V49)</f>
        <v>7.2</v>
      </c>
      <c r="X49" s="4">
        <v>80</v>
      </c>
      <c r="Y49" s="9">
        <v>66</v>
      </c>
      <c r="Z49" s="9">
        <v>97</v>
      </c>
      <c r="AA49" s="9">
        <v>53</v>
      </c>
      <c r="AB49" s="9">
        <v>67</v>
      </c>
      <c r="AC49" s="5">
        <f>AVERAGE(X49:AB49)</f>
        <v>72.599999999999994</v>
      </c>
      <c r="AD49" s="17" t="s">
        <v>106</v>
      </c>
      <c r="AE49" s="6">
        <v>45740</v>
      </c>
      <c r="AF49" s="4">
        <f>AE49-G49</f>
        <v>125</v>
      </c>
      <c r="AG49" s="4">
        <v>2</v>
      </c>
      <c r="AH49" s="4">
        <v>3</v>
      </c>
      <c r="AI49" s="11">
        <v>0.746</v>
      </c>
      <c r="AJ49" s="12">
        <v>8.8000000000000007</v>
      </c>
      <c r="AK49" s="13">
        <f>(AI49*((100-AJ49)/(100-13)))</f>
        <v>0.78201379310344832</v>
      </c>
      <c r="AL49" s="13">
        <f>(AI49*((100-AJ49)/(100-13))/5)*10000</f>
        <v>1564.0275862068968</v>
      </c>
      <c r="AM49" s="14">
        <f>AL49/1000</f>
        <v>1.5640275862068969</v>
      </c>
      <c r="AN49" s="13">
        <v>9.02</v>
      </c>
      <c r="AO49" s="13">
        <f>(AN49*((100-AJ49)/(100-13)))</f>
        <v>9.4554482758620697</v>
      </c>
      <c r="AP49" s="15">
        <v>0.48199999999999998</v>
      </c>
      <c r="AQ49" s="13">
        <f>(AP49*((100-AJ49)/(100-13))/5)*10000</f>
        <v>1010.5379310344828</v>
      </c>
      <c r="AR49" s="16">
        <f>((1-(AL49-AQ49)/AL49))</f>
        <v>0.64611260053619302</v>
      </c>
    </row>
    <row r="50" spans="1:44" ht="15.6" x14ac:dyDescent="0.3">
      <c r="A50" s="4">
        <v>4</v>
      </c>
      <c r="B50" s="4">
        <v>4</v>
      </c>
      <c r="C50" s="5">
        <v>49</v>
      </c>
      <c r="D50" s="4">
        <v>2</v>
      </c>
      <c r="E50" s="22" t="s">
        <v>88</v>
      </c>
      <c r="F50" s="4" t="s">
        <v>29</v>
      </c>
      <c r="G50" s="6">
        <v>45615</v>
      </c>
      <c r="H50" s="4" t="s">
        <v>103</v>
      </c>
      <c r="I50" s="6">
        <v>45663</v>
      </c>
      <c r="J50" s="4">
        <f>I50-G50</f>
        <v>48</v>
      </c>
      <c r="K50" s="4">
        <v>37</v>
      </c>
      <c r="L50" s="4">
        <v>31</v>
      </c>
      <c r="M50" s="4">
        <v>32</v>
      </c>
      <c r="N50" s="4">
        <v>39</v>
      </c>
      <c r="O50" s="4">
        <v>37</v>
      </c>
      <c r="P50" s="5">
        <f>AVERAGE(K50:O50)</f>
        <v>35.200000000000003</v>
      </c>
      <c r="Q50" s="8">
        <v>45719</v>
      </c>
      <c r="R50" s="4">
        <v>10</v>
      </c>
      <c r="S50" s="4">
        <v>10</v>
      </c>
      <c r="T50" s="4">
        <v>8</v>
      </c>
      <c r="U50" s="4">
        <v>15</v>
      </c>
      <c r="V50" s="4">
        <v>13</v>
      </c>
      <c r="W50" s="5">
        <f>AVERAGE(R50:V50)</f>
        <v>11.2</v>
      </c>
      <c r="X50" s="4">
        <v>67</v>
      </c>
      <c r="Y50" s="9">
        <v>76</v>
      </c>
      <c r="Z50" s="9">
        <v>98</v>
      </c>
      <c r="AA50" s="9">
        <v>4</v>
      </c>
      <c r="AB50" s="9">
        <v>80</v>
      </c>
      <c r="AC50" s="5">
        <f>AVERAGE(X50:AB50)</f>
        <v>65</v>
      </c>
      <c r="AD50" s="10" t="s">
        <v>105</v>
      </c>
      <c r="AE50" s="6">
        <v>45729</v>
      </c>
      <c r="AF50" s="4">
        <f>AE50-G50</f>
        <v>114</v>
      </c>
      <c r="AG50" s="4">
        <v>2</v>
      </c>
      <c r="AH50" s="4">
        <v>3</v>
      </c>
      <c r="AI50" s="11">
        <v>1.3839999999999999</v>
      </c>
      <c r="AJ50" s="12">
        <v>8.4</v>
      </c>
      <c r="AK50" s="13">
        <f>(AI50*((100-AJ50)/(100-13)))</f>
        <v>1.4571770114942526</v>
      </c>
      <c r="AL50" s="13">
        <f>(AI50*((100-AJ50)/(100-13))/5)*10000</f>
        <v>2914.3540229885052</v>
      </c>
      <c r="AM50" s="14">
        <f>AL50/1000</f>
        <v>2.9143540229885052</v>
      </c>
      <c r="AN50" s="13">
        <v>12.28</v>
      </c>
      <c r="AO50" s="13">
        <f>(AN50*((100-AJ50)/(100-13)))</f>
        <v>12.929287356321838</v>
      </c>
      <c r="AP50" s="15">
        <v>1.1319999999999999</v>
      </c>
      <c r="AQ50" s="13">
        <f>(AP50*((100-AJ50)/(100-13))/5)*10000</f>
        <v>2383.7057471264366</v>
      </c>
      <c r="AR50" s="16">
        <f>((1-(AL50-AQ50)/AL50))</f>
        <v>0.81791907514450868</v>
      </c>
    </row>
    <row r="51" spans="1:44" ht="15.6" x14ac:dyDescent="0.3">
      <c r="A51" s="4">
        <v>5</v>
      </c>
      <c r="B51" s="4">
        <v>4</v>
      </c>
      <c r="C51" s="5">
        <v>50</v>
      </c>
      <c r="D51" s="4">
        <v>2</v>
      </c>
      <c r="E51" s="22" t="s">
        <v>98</v>
      </c>
      <c r="F51" s="4" t="s">
        <v>46</v>
      </c>
      <c r="G51" s="6">
        <v>45615</v>
      </c>
      <c r="H51" s="4" t="s">
        <v>103</v>
      </c>
      <c r="I51" s="6">
        <v>45672</v>
      </c>
      <c r="J51" s="4">
        <f>I51-G51</f>
        <v>57</v>
      </c>
      <c r="K51" s="4">
        <v>44</v>
      </c>
      <c r="L51" s="4">
        <v>45</v>
      </c>
      <c r="M51" s="4">
        <v>42</v>
      </c>
      <c r="N51" s="4">
        <v>43</v>
      </c>
      <c r="O51" s="4">
        <v>39</v>
      </c>
      <c r="P51" s="5">
        <f>AVERAGE(K51:O51)</f>
        <v>42.6</v>
      </c>
      <c r="Q51" s="8">
        <v>45727</v>
      </c>
      <c r="R51" s="4">
        <v>13</v>
      </c>
      <c r="S51" s="4">
        <v>8</v>
      </c>
      <c r="T51" s="4">
        <v>14</v>
      </c>
      <c r="U51" s="4">
        <v>7</v>
      </c>
      <c r="V51" s="4">
        <v>10</v>
      </c>
      <c r="W51" s="5">
        <f>AVERAGE(R51:V51)</f>
        <v>10.4</v>
      </c>
      <c r="X51" s="4">
        <v>68</v>
      </c>
      <c r="Y51" s="9">
        <v>84</v>
      </c>
      <c r="Z51" s="9">
        <v>67</v>
      </c>
      <c r="AA51" s="9">
        <v>72</v>
      </c>
      <c r="AB51" s="9">
        <v>75</v>
      </c>
      <c r="AC51" s="5">
        <f>AVERAGE(X51:AB51)</f>
        <v>73.2</v>
      </c>
      <c r="AD51" s="17" t="s">
        <v>106</v>
      </c>
      <c r="AE51" s="6">
        <v>45734</v>
      </c>
      <c r="AF51" s="4">
        <f>AE51-G51</f>
        <v>119</v>
      </c>
      <c r="AG51" s="4">
        <v>2</v>
      </c>
      <c r="AH51" s="4">
        <v>3</v>
      </c>
      <c r="AI51" s="11">
        <v>0.91800000000000004</v>
      </c>
      <c r="AJ51" s="12">
        <v>8.9</v>
      </c>
      <c r="AK51" s="13">
        <f>(AI51*((100-AJ51)/(100-13)))</f>
        <v>0.96126206896551725</v>
      </c>
      <c r="AL51" s="13">
        <f>(AI51*((100-AJ51)/(100-13))/5)*10000</f>
        <v>1922.5241379310346</v>
      </c>
      <c r="AM51" s="14">
        <f>AL51/1000</f>
        <v>1.9225241379310345</v>
      </c>
      <c r="AN51" s="13">
        <v>8.7200000000000006</v>
      </c>
      <c r="AO51" s="13">
        <f>(AN51*((100-AJ51)/(100-13)))</f>
        <v>9.1309425287356323</v>
      </c>
      <c r="AP51" s="15">
        <v>0.82599999999999996</v>
      </c>
      <c r="AQ51" s="13">
        <f>(AP51*((100-AJ51)/(100-13))/5)*10000</f>
        <v>1729.8528735632183</v>
      </c>
      <c r="AR51" s="16">
        <f>((1-(AL51-AQ51)/AL51))</f>
        <v>0.8997821350762526</v>
      </c>
    </row>
    <row r="52" spans="1:44" ht="15.6" x14ac:dyDescent="0.3">
      <c r="A52" s="4">
        <v>6</v>
      </c>
      <c r="B52" s="4">
        <v>4</v>
      </c>
      <c r="C52" s="5">
        <v>51</v>
      </c>
      <c r="D52" s="4">
        <v>2</v>
      </c>
      <c r="E52" s="22" t="s">
        <v>91</v>
      </c>
      <c r="F52" s="4" t="s">
        <v>50</v>
      </c>
      <c r="G52" s="6">
        <v>45615</v>
      </c>
      <c r="H52" s="4" t="s">
        <v>103</v>
      </c>
      <c r="I52" s="6">
        <v>45679</v>
      </c>
      <c r="J52" s="4">
        <f>I52-G52</f>
        <v>64</v>
      </c>
      <c r="K52" s="4">
        <v>58</v>
      </c>
      <c r="L52" s="4">
        <v>55</v>
      </c>
      <c r="M52" s="4">
        <v>58</v>
      </c>
      <c r="N52" s="4">
        <v>66</v>
      </c>
      <c r="O52" s="4">
        <v>66</v>
      </c>
      <c r="P52" s="5">
        <f>AVERAGE(K52:O52)</f>
        <v>60.6</v>
      </c>
      <c r="Q52" s="8">
        <v>45729</v>
      </c>
      <c r="R52" s="4">
        <v>14</v>
      </c>
      <c r="S52" s="4">
        <v>6</v>
      </c>
      <c r="T52" s="4">
        <v>20</v>
      </c>
      <c r="U52" s="4">
        <v>11</v>
      </c>
      <c r="V52" s="4">
        <v>17</v>
      </c>
      <c r="W52" s="5">
        <f>AVERAGE(R52:V52)</f>
        <v>13.6</v>
      </c>
      <c r="X52" s="4">
        <v>80</v>
      </c>
      <c r="Y52" s="9">
        <v>66</v>
      </c>
      <c r="Z52" s="9">
        <v>71</v>
      </c>
      <c r="AA52" s="9">
        <v>75</v>
      </c>
      <c r="AB52" s="9">
        <v>71</v>
      </c>
      <c r="AC52" s="5">
        <f>AVERAGE(X52:AB52)</f>
        <v>72.599999999999994</v>
      </c>
      <c r="AD52" s="17" t="s">
        <v>106</v>
      </c>
      <c r="AE52" s="6">
        <v>45740</v>
      </c>
      <c r="AF52" s="4">
        <f>AE52-G52</f>
        <v>125</v>
      </c>
      <c r="AG52" s="4">
        <v>3</v>
      </c>
      <c r="AH52" s="4">
        <v>1</v>
      </c>
      <c r="AI52" s="11">
        <v>0.99</v>
      </c>
      <c r="AJ52" s="12">
        <v>8.8000000000000007</v>
      </c>
      <c r="AK52" s="13">
        <f>(AI52*((100-AJ52)/(100-13)))</f>
        <v>1.0377931034482759</v>
      </c>
      <c r="AL52" s="13">
        <f>(AI52*((100-AJ52)/(100-13))/5)*10000</f>
        <v>2075.5862068965521</v>
      </c>
      <c r="AM52" s="14">
        <f>AL52/1000</f>
        <v>2.0755862068965523</v>
      </c>
      <c r="AN52" s="13">
        <v>8.32</v>
      </c>
      <c r="AO52" s="13">
        <f>(AN52*((100-AJ52)/(100-13)))</f>
        <v>8.7216551724137936</v>
      </c>
      <c r="AP52" s="15">
        <v>0.36599999999999999</v>
      </c>
      <c r="AQ52" s="13">
        <f>(AP52*((100-AJ52)/(100-13))/5)*10000</f>
        <v>767.33793103448272</v>
      </c>
      <c r="AR52" s="16">
        <f>((1-(AL52-AQ52)/AL52))</f>
        <v>0.36969696969696952</v>
      </c>
    </row>
    <row r="53" spans="1:44" ht="15.6" x14ac:dyDescent="0.3">
      <c r="A53" s="4">
        <v>7</v>
      </c>
      <c r="B53" s="4">
        <v>4</v>
      </c>
      <c r="C53" s="5">
        <v>52</v>
      </c>
      <c r="D53" s="4">
        <v>2</v>
      </c>
      <c r="E53" s="22" t="s">
        <v>89</v>
      </c>
      <c r="F53" s="4" t="s">
        <v>43</v>
      </c>
      <c r="G53" s="6">
        <v>45615</v>
      </c>
      <c r="H53" s="7" t="s">
        <v>104</v>
      </c>
      <c r="I53" s="6">
        <v>45665</v>
      </c>
      <c r="J53" s="4">
        <f>I53-G53</f>
        <v>50</v>
      </c>
      <c r="K53" s="4">
        <v>38</v>
      </c>
      <c r="L53" s="4">
        <v>37</v>
      </c>
      <c r="M53" s="4">
        <v>33</v>
      </c>
      <c r="N53" s="4">
        <v>40</v>
      </c>
      <c r="O53" s="4">
        <v>45</v>
      </c>
      <c r="P53" s="5">
        <f>AVERAGE(K53:O53)</f>
        <v>38.6</v>
      </c>
      <c r="Q53" s="8">
        <v>45721</v>
      </c>
      <c r="R53" s="4">
        <v>8</v>
      </c>
      <c r="S53" s="4">
        <v>7</v>
      </c>
      <c r="T53" s="4">
        <v>8</v>
      </c>
      <c r="U53" s="4">
        <v>10</v>
      </c>
      <c r="V53" s="4">
        <v>7</v>
      </c>
      <c r="W53" s="5">
        <f>AVERAGE(R53:V53)</f>
        <v>8</v>
      </c>
      <c r="X53" s="4">
        <v>4</v>
      </c>
      <c r="Y53" s="9">
        <v>37</v>
      </c>
      <c r="Z53" s="9">
        <v>45</v>
      </c>
      <c r="AA53" s="9">
        <v>65</v>
      </c>
      <c r="AB53" s="9">
        <v>64</v>
      </c>
      <c r="AC53" s="5">
        <f>AVERAGE(X53:AB53)</f>
        <v>43</v>
      </c>
      <c r="AD53" s="17" t="s">
        <v>106</v>
      </c>
      <c r="AE53" s="6">
        <v>45729</v>
      </c>
      <c r="AF53" s="4">
        <f>AE53-G53</f>
        <v>114</v>
      </c>
      <c r="AG53" s="4">
        <v>2</v>
      </c>
      <c r="AH53" s="4">
        <v>3</v>
      </c>
      <c r="AI53" s="11">
        <v>0.92600000000000005</v>
      </c>
      <c r="AJ53" s="12">
        <v>8.6999999999999993</v>
      </c>
      <c r="AK53" s="13">
        <f>(AI53*((100-AJ53)/(100-13)))</f>
        <v>0.97176781609195417</v>
      </c>
      <c r="AL53" s="13">
        <f>(AI53*((100-AJ53)/(100-13))/5)*10000</f>
        <v>1943.5356321839083</v>
      </c>
      <c r="AM53" s="14">
        <f>AL53/1000</f>
        <v>1.9435356321839083</v>
      </c>
      <c r="AN53" s="13">
        <v>13.02</v>
      </c>
      <c r="AO53" s="13">
        <f>(AN53*((100-AJ53)/(100-13)))</f>
        <v>13.66351724137931</v>
      </c>
      <c r="AP53" s="15">
        <v>0.58399999999999996</v>
      </c>
      <c r="AQ53" s="13">
        <f>(AP53*((100-AJ53)/(100-13))/5)*10000</f>
        <v>1225.728735632184</v>
      </c>
      <c r="AR53" s="16">
        <f>((1-(AL53-AQ53)/AL53))</f>
        <v>0.63066954643628503</v>
      </c>
    </row>
    <row r="54" spans="1:44" ht="15.6" x14ac:dyDescent="0.3">
      <c r="A54" s="4">
        <v>8</v>
      </c>
      <c r="B54" s="4">
        <v>4</v>
      </c>
      <c r="C54" s="5">
        <v>53</v>
      </c>
      <c r="D54" s="4">
        <v>2</v>
      </c>
      <c r="E54" s="22" t="s">
        <v>102</v>
      </c>
      <c r="F54" s="4" t="s">
        <v>51</v>
      </c>
      <c r="G54" s="6">
        <v>45615</v>
      </c>
      <c r="H54" s="7" t="s">
        <v>104</v>
      </c>
      <c r="I54" s="6">
        <v>45672</v>
      </c>
      <c r="J54" s="4">
        <f>I54-G54</f>
        <v>57</v>
      </c>
      <c r="K54" s="4">
        <v>51</v>
      </c>
      <c r="L54" s="4">
        <v>49</v>
      </c>
      <c r="M54" s="4">
        <v>55</v>
      </c>
      <c r="N54" s="4">
        <v>50</v>
      </c>
      <c r="O54" s="4">
        <v>55</v>
      </c>
      <c r="P54" s="5">
        <f>AVERAGE(K54:O54)</f>
        <v>52</v>
      </c>
      <c r="Q54" s="8">
        <v>45729</v>
      </c>
      <c r="R54" s="4">
        <v>8</v>
      </c>
      <c r="S54" s="4">
        <v>6</v>
      </c>
      <c r="T54" s="4">
        <v>6</v>
      </c>
      <c r="U54" s="4">
        <v>7</v>
      </c>
      <c r="V54" s="4">
        <v>9</v>
      </c>
      <c r="W54" s="5">
        <f>AVERAGE(R54:V54)</f>
        <v>7.2</v>
      </c>
      <c r="X54" s="4">
        <v>59</v>
      </c>
      <c r="Y54" s="9">
        <v>51</v>
      </c>
      <c r="Z54" s="9">
        <v>75</v>
      </c>
      <c r="AA54" s="9">
        <v>60</v>
      </c>
      <c r="AB54" s="9">
        <v>62</v>
      </c>
      <c r="AC54" s="5">
        <f>AVERAGE(X54:AB54)</f>
        <v>61.4</v>
      </c>
      <c r="AD54" s="10" t="s">
        <v>105</v>
      </c>
      <c r="AE54" s="6">
        <v>45740</v>
      </c>
      <c r="AF54" s="4">
        <f>AE54-G54</f>
        <v>125</v>
      </c>
      <c r="AG54" s="4">
        <v>2</v>
      </c>
      <c r="AH54" s="4">
        <v>2</v>
      </c>
      <c r="AI54" s="11">
        <v>0.80400000000000005</v>
      </c>
      <c r="AJ54" s="12">
        <v>8.5</v>
      </c>
      <c r="AK54" s="13">
        <f>(AI54*((100-AJ54)/(100-13)))</f>
        <v>0.84558620689655173</v>
      </c>
      <c r="AL54" s="13">
        <f>(AI54*((100-AJ54)/(100-13))/5)*10000</f>
        <v>1691.1724137931033</v>
      </c>
      <c r="AM54" s="14">
        <f>AL54/1000</f>
        <v>1.6911724137931032</v>
      </c>
      <c r="AN54" s="13">
        <v>16.22</v>
      </c>
      <c r="AO54" s="13">
        <f>(AN54*((100-AJ54)/(100-13)))</f>
        <v>17.058965517241379</v>
      </c>
      <c r="AP54" s="15">
        <v>0.39600000000000002</v>
      </c>
      <c r="AQ54" s="13">
        <f>(AP54*((100-AJ54)/(100-13))/5)*10000</f>
        <v>832.96551724137942</v>
      </c>
      <c r="AR54" s="16">
        <f>((1-(AL54-AQ54)/AL54))</f>
        <v>0.49253731343283591</v>
      </c>
    </row>
    <row r="55" spans="1:44" ht="15.6" x14ac:dyDescent="0.3">
      <c r="A55" s="4">
        <v>9</v>
      </c>
      <c r="B55" s="4">
        <v>4</v>
      </c>
      <c r="C55" s="5">
        <v>54</v>
      </c>
      <c r="D55" s="4">
        <v>2</v>
      </c>
      <c r="E55" s="22" t="s">
        <v>96</v>
      </c>
      <c r="F55" s="4" t="s">
        <v>47</v>
      </c>
      <c r="G55" s="6">
        <v>45615</v>
      </c>
      <c r="H55" s="4" t="s">
        <v>103</v>
      </c>
      <c r="I55" s="6">
        <v>45669</v>
      </c>
      <c r="J55" s="4">
        <f>I55-G55</f>
        <v>54</v>
      </c>
      <c r="K55" s="4">
        <v>55</v>
      </c>
      <c r="L55" s="4">
        <v>52</v>
      </c>
      <c r="M55" s="4">
        <v>50</v>
      </c>
      <c r="N55" s="4">
        <v>55</v>
      </c>
      <c r="O55" s="4">
        <v>43</v>
      </c>
      <c r="P55" s="5">
        <f>AVERAGE(K55:O55)</f>
        <v>51</v>
      </c>
      <c r="Q55" s="8">
        <v>45721</v>
      </c>
      <c r="R55" s="4">
        <v>10</v>
      </c>
      <c r="S55" s="4">
        <v>12</v>
      </c>
      <c r="T55" s="4">
        <v>8</v>
      </c>
      <c r="U55" s="4">
        <v>8</v>
      </c>
      <c r="V55" s="4">
        <v>9</v>
      </c>
      <c r="W55" s="5">
        <f>AVERAGE(R55:V55)</f>
        <v>9.4</v>
      </c>
      <c r="X55" s="4">
        <v>66</v>
      </c>
      <c r="Y55" s="9">
        <v>65</v>
      </c>
      <c r="Z55" s="9">
        <v>64</v>
      </c>
      <c r="AA55" s="9">
        <v>51</v>
      </c>
      <c r="AB55" s="9">
        <v>64</v>
      </c>
      <c r="AC55" s="5">
        <f>AVERAGE(X55:AB55)</f>
        <v>62</v>
      </c>
      <c r="AD55" s="10" t="s">
        <v>105</v>
      </c>
      <c r="AE55" s="6">
        <v>45740</v>
      </c>
      <c r="AF55" s="4">
        <f>AE55-G55</f>
        <v>125</v>
      </c>
      <c r="AG55" s="4">
        <v>2</v>
      </c>
      <c r="AH55" s="4">
        <v>2</v>
      </c>
      <c r="AI55" s="11">
        <v>0.63400000000000001</v>
      </c>
      <c r="AJ55" s="12">
        <v>8.6</v>
      </c>
      <c r="AK55" s="13">
        <f>(AI55*((100-AJ55)/(100-13)))</f>
        <v>0.66606436781609202</v>
      </c>
      <c r="AL55" s="13">
        <f>(AI55*((100-AJ55)/(100-13))/5)*10000</f>
        <v>1332.1287356321841</v>
      </c>
      <c r="AM55" s="14">
        <f>AL55/1000</f>
        <v>1.332128735632184</v>
      </c>
      <c r="AN55" s="13">
        <v>10.87</v>
      </c>
      <c r="AO55" s="13">
        <f>(AN55*((100-AJ55)/(100-13)))</f>
        <v>11.41974712643678</v>
      </c>
      <c r="AP55" s="15">
        <v>0.57599999999999996</v>
      </c>
      <c r="AQ55" s="13">
        <f>(AP55*((100-AJ55)/(100-13))/5)*10000</f>
        <v>1210.2620689655173</v>
      </c>
      <c r="AR55" s="16">
        <f>((1-(AL55-AQ55)/AL55))</f>
        <v>0.90851735015772861</v>
      </c>
    </row>
    <row r="56" spans="1:44" ht="15.6" x14ac:dyDescent="0.3">
      <c r="A56" s="4">
        <v>10</v>
      </c>
      <c r="B56" s="4">
        <v>4</v>
      </c>
      <c r="C56" s="5">
        <v>55</v>
      </c>
      <c r="D56" s="4">
        <v>2</v>
      </c>
      <c r="E56" s="22" t="s">
        <v>101</v>
      </c>
      <c r="F56" s="4" t="s">
        <v>33</v>
      </c>
      <c r="G56" s="6">
        <v>45615</v>
      </c>
      <c r="H56" s="4" t="s">
        <v>103</v>
      </c>
      <c r="I56" s="6">
        <v>45672</v>
      </c>
      <c r="J56" s="4">
        <f>I56-G56</f>
        <v>57</v>
      </c>
      <c r="K56" s="4">
        <v>53</v>
      </c>
      <c r="L56" s="4">
        <v>52</v>
      </c>
      <c r="M56" s="4">
        <v>51</v>
      </c>
      <c r="N56" s="4">
        <v>49</v>
      </c>
      <c r="O56" s="4">
        <v>50</v>
      </c>
      <c r="P56" s="5">
        <f>AVERAGE(K56:O56)</f>
        <v>51</v>
      </c>
      <c r="Q56" s="8">
        <v>45729</v>
      </c>
      <c r="R56" s="4">
        <v>10</v>
      </c>
      <c r="S56" s="4">
        <v>9</v>
      </c>
      <c r="T56" s="4">
        <v>14</v>
      </c>
      <c r="U56" s="4">
        <v>11</v>
      </c>
      <c r="V56" s="4">
        <v>17</v>
      </c>
      <c r="W56" s="5">
        <f>AVERAGE(R56:V56)</f>
        <v>12.2</v>
      </c>
      <c r="X56" s="4">
        <v>79</v>
      </c>
      <c r="Y56" s="9">
        <v>76</v>
      </c>
      <c r="Z56" s="9">
        <v>74</v>
      </c>
      <c r="AA56" s="9">
        <v>77</v>
      </c>
      <c r="AB56" s="9">
        <v>64</v>
      </c>
      <c r="AC56" s="5">
        <f>AVERAGE(X56:AB56)</f>
        <v>74</v>
      </c>
      <c r="AD56" s="17" t="s">
        <v>106</v>
      </c>
      <c r="AE56" s="6">
        <v>45740</v>
      </c>
      <c r="AF56" s="4">
        <f>AE56-G56</f>
        <v>125</v>
      </c>
      <c r="AG56" s="4">
        <v>1</v>
      </c>
      <c r="AH56" s="4">
        <v>4</v>
      </c>
      <c r="AI56" s="11">
        <v>1.1679999999999999</v>
      </c>
      <c r="AJ56" s="12">
        <v>8.9</v>
      </c>
      <c r="AK56" s="13">
        <f>(AI56*((100-AJ56)/(100-13)))</f>
        <v>1.2230436781609193</v>
      </c>
      <c r="AL56" s="13">
        <f>(AI56*((100-AJ56)/(100-13))/5)*10000</f>
        <v>2446.0873563218383</v>
      </c>
      <c r="AM56" s="14">
        <f>AL56/1000</f>
        <v>2.4460873563218382</v>
      </c>
      <c r="AN56" s="13">
        <v>10.82</v>
      </c>
      <c r="AO56" s="13">
        <f>(AN56*((100-AJ56)/(100-13)))</f>
        <v>11.32990804597701</v>
      </c>
      <c r="AP56" s="15">
        <v>0.76600000000000001</v>
      </c>
      <c r="AQ56" s="13">
        <f>(AP56*((100-AJ56)/(100-13))/5)*10000</f>
        <v>1604.1977011494253</v>
      </c>
      <c r="AR56" s="16">
        <f>((1-(AL56-AQ56)/AL56))</f>
        <v>0.65582191780821941</v>
      </c>
    </row>
    <row r="57" spans="1:44" ht="15.6" x14ac:dyDescent="0.3">
      <c r="A57" s="4">
        <v>11</v>
      </c>
      <c r="B57" s="4">
        <v>4</v>
      </c>
      <c r="C57" s="5">
        <v>56</v>
      </c>
      <c r="D57" s="4">
        <v>2</v>
      </c>
      <c r="E57" s="22" t="s">
        <v>83</v>
      </c>
      <c r="F57" s="4" t="s">
        <v>37</v>
      </c>
      <c r="G57" s="6">
        <v>45615</v>
      </c>
      <c r="H57" s="4" t="s">
        <v>103</v>
      </c>
      <c r="I57" s="6">
        <v>45669</v>
      </c>
      <c r="J57" s="4">
        <f>I57-G57</f>
        <v>54</v>
      </c>
      <c r="K57" s="4">
        <v>59</v>
      </c>
      <c r="L57" s="4">
        <v>65</v>
      </c>
      <c r="M57" s="4">
        <v>63</v>
      </c>
      <c r="N57" s="4">
        <v>70</v>
      </c>
      <c r="O57" s="4">
        <v>64</v>
      </c>
      <c r="P57" s="5">
        <f>AVERAGE(K57:O57)</f>
        <v>64.2</v>
      </c>
      <c r="Q57" s="8">
        <v>45727</v>
      </c>
      <c r="R57" s="4">
        <v>14</v>
      </c>
      <c r="S57" s="4">
        <v>13</v>
      </c>
      <c r="T57" s="4">
        <v>17</v>
      </c>
      <c r="U57" s="4">
        <v>8</v>
      </c>
      <c r="V57" s="4">
        <v>15</v>
      </c>
      <c r="W57" s="5">
        <f>AVERAGE(R57:V57)</f>
        <v>13.4</v>
      </c>
      <c r="X57" s="4">
        <v>80</v>
      </c>
      <c r="Y57" s="9">
        <v>81</v>
      </c>
      <c r="Z57" s="9">
        <v>98</v>
      </c>
      <c r="AA57" s="9">
        <v>81</v>
      </c>
      <c r="AB57" s="9">
        <v>83</v>
      </c>
      <c r="AC57" s="5">
        <f>AVERAGE(X57:AB57)</f>
        <v>84.6</v>
      </c>
      <c r="AD57" s="17" t="s">
        <v>106</v>
      </c>
      <c r="AE57" s="6">
        <v>45734</v>
      </c>
      <c r="AF57" s="4">
        <f>AE57-G57</f>
        <v>119</v>
      </c>
      <c r="AG57" s="4">
        <v>2</v>
      </c>
      <c r="AH57" s="4">
        <v>3</v>
      </c>
      <c r="AI57" s="11">
        <v>1.1579999999999999</v>
      </c>
      <c r="AJ57" s="12">
        <v>8.9</v>
      </c>
      <c r="AK57" s="13">
        <f>(AI57*((100-AJ57)/(100-13)))</f>
        <v>1.2125724137931033</v>
      </c>
      <c r="AL57" s="13">
        <f>(AI57*((100-AJ57)/(100-13))/5)*10000</f>
        <v>2425.1448275862067</v>
      </c>
      <c r="AM57" s="14">
        <f>AL57/1000</f>
        <v>2.4251448275862066</v>
      </c>
      <c r="AN57" s="13">
        <v>8.4700000000000006</v>
      </c>
      <c r="AO57" s="13">
        <f>(AN57*((100-AJ57)/(100-13)))</f>
        <v>8.8691609195402297</v>
      </c>
      <c r="AP57" s="15">
        <v>0.93600000000000005</v>
      </c>
      <c r="AQ57" s="13">
        <f>(AP57*((100-AJ57)/(100-13))/5)*10000</f>
        <v>1960.2206896551725</v>
      </c>
      <c r="AR57" s="16">
        <f>((1-(AL57-AQ57)/AL57))</f>
        <v>0.8082901554404146</v>
      </c>
    </row>
    <row r="58" spans="1:44" ht="15.6" x14ac:dyDescent="0.3">
      <c r="A58" s="4">
        <v>12</v>
      </c>
      <c r="B58" s="4">
        <v>4</v>
      </c>
      <c r="C58" s="5">
        <v>57</v>
      </c>
      <c r="D58" s="4">
        <v>2</v>
      </c>
      <c r="E58" s="22" t="s">
        <v>99</v>
      </c>
      <c r="F58" s="4" t="s">
        <v>49</v>
      </c>
      <c r="G58" s="6">
        <v>45615</v>
      </c>
      <c r="H58" s="7" t="s">
        <v>104</v>
      </c>
      <c r="I58" s="6">
        <v>45668</v>
      </c>
      <c r="J58" s="4">
        <f>I58-G58</f>
        <v>53</v>
      </c>
      <c r="K58" s="4">
        <v>61</v>
      </c>
      <c r="L58" s="4">
        <v>52</v>
      </c>
      <c r="M58" s="4">
        <v>51</v>
      </c>
      <c r="N58" s="4">
        <v>55</v>
      </c>
      <c r="O58" s="4">
        <v>40</v>
      </c>
      <c r="P58" s="5">
        <f>AVERAGE(K58:O58)</f>
        <v>51.8</v>
      </c>
      <c r="Q58" s="8">
        <v>45721</v>
      </c>
      <c r="R58" s="4">
        <v>14</v>
      </c>
      <c r="S58" s="4">
        <v>16</v>
      </c>
      <c r="T58" s="4">
        <v>8</v>
      </c>
      <c r="U58" s="4">
        <v>12</v>
      </c>
      <c r="V58" s="4">
        <v>8</v>
      </c>
      <c r="W58" s="5">
        <f>AVERAGE(R58:V58)</f>
        <v>11.6</v>
      </c>
      <c r="X58" s="4">
        <v>53</v>
      </c>
      <c r="Y58" s="9">
        <v>68</v>
      </c>
      <c r="Z58" s="9">
        <v>74</v>
      </c>
      <c r="AA58" s="9">
        <v>75</v>
      </c>
      <c r="AB58" s="9">
        <v>75</v>
      </c>
      <c r="AC58" s="5">
        <f>AVERAGE(X58:AB58)</f>
        <v>69</v>
      </c>
      <c r="AD58" s="17" t="s">
        <v>106</v>
      </c>
      <c r="AE58" s="6">
        <v>45734</v>
      </c>
      <c r="AF58" s="4">
        <f>AE58-G58</f>
        <v>119</v>
      </c>
      <c r="AG58" s="4">
        <v>2</v>
      </c>
      <c r="AH58" s="4">
        <v>3</v>
      </c>
      <c r="AI58" s="11">
        <v>0.91800000000000004</v>
      </c>
      <c r="AJ58" s="12">
        <v>8.6999999999999993</v>
      </c>
      <c r="AK58" s="13">
        <f>(AI58*((100-AJ58)/(100-13)))</f>
        <v>0.96337241379310357</v>
      </c>
      <c r="AL58" s="13">
        <f>(AI58*((100-AJ58)/(100-13))/5)*10000</f>
        <v>1926.7448275862071</v>
      </c>
      <c r="AM58" s="14">
        <f>AL58/1000</f>
        <v>1.9267448275862071</v>
      </c>
      <c r="AN58" s="13">
        <v>9.6999999999999993</v>
      </c>
      <c r="AO58" s="13">
        <f>(AN58*((100-AJ58)/(100-13)))</f>
        <v>10.179425287356322</v>
      </c>
      <c r="AP58" s="15">
        <v>0.84</v>
      </c>
      <c r="AQ58" s="13">
        <f>(AP58*((100-AJ58)/(100-13))/5)*10000</f>
        <v>1763.0344827586205</v>
      </c>
      <c r="AR58" s="16">
        <f>((1-(AL58-AQ58)/AL58))</f>
        <v>0.91503267973856195</v>
      </c>
    </row>
    <row r="59" spans="1:44" ht="15.6" x14ac:dyDescent="0.3">
      <c r="A59" s="4">
        <v>13</v>
      </c>
      <c r="B59" s="4">
        <v>4</v>
      </c>
      <c r="C59" s="5">
        <v>58</v>
      </c>
      <c r="D59" s="4">
        <v>2</v>
      </c>
      <c r="E59" s="22" t="s">
        <v>100</v>
      </c>
      <c r="F59" s="4" t="s">
        <v>44</v>
      </c>
      <c r="G59" s="6">
        <v>45615</v>
      </c>
      <c r="H59" s="7" t="s">
        <v>104</v>
      </c>
      <c r="I59" s="6">
        <v>45669</v>
      </c>
      <c r="J59" s="4">
        <f>I59-G59</f>
        <v>54</v>
      </c>
      <c r="K59" s="4">
        <v>65</v>
      </c>
      <c r="L59" s="4">
        <v>53</v>
      </c>
      <c r="M59" s="4">
        <v>54</v>
      </c>
      <c r="N59" s="4">
        <v>58</v>
      </c>
      <c r="O59" s="4">
        <v>50</v>
      </c>
      <c r="P59" s="5">
        <f>AVERAGE(K59:O59)</f>
        <v>56</v>
      </c>
      <c r="Q59" s="8">
        <v>45721</v>
      </c>
      <c r="R59" s="4">
        <v>10</v>
      </c>
      <c r="S59" s="4">
        <v>18</v>
      </c>
      <c r="T59" s="4">
        <v>17</v>
      </c>
      <c r="U59" s="4">
        <v>16</v>
      </c>
      <c r="V59" s="4">
        <v>10</v>
      </c>
      <c r="W59" s="5">
        <f>AVERAGE(R59:V59)</f>
        <v>14.2</v>
      </c>
      <c r="X59" s="4">
        <v>79</v>
      </c>
      <c r="Y59" s="9">
        <v>85</v>
      </c>
      <c r="Z59" s="9">
        <v>74</v>
      </c>
      <c r="AA59" s="9">
        <v>83</v>
      </c>
      <c r="AB59" s="9">
        <v>81</v>
      </c>
      <c r="AC59" s="5">
        <f>AVERAGE(X59:AB59)</f>
        <v>80.400000000000006</v>
      </c>
      <c r="AD59" s="17" t="s">
        <v>106</v>
      </c>
      <c r="AE59" s="6">
        <v>45729</v>
      </c>
      <c r="AF59" s="4">
        <f>AE59-G59</f>
        <v>114</v>
      </c>
      <c r="AG59" s="4">
        <v>2</v>
      </c>
      <c r="AH59" s="4">
        <v>4</v>
      </c>
      <c r="AI59" s="11">
        <v>1.31</v>
      </c>
      <c r="AJ59" s="12">
        <v>8.6</v>
      </c>
      <c r="AK59" s="13">
        <f>(AI59*((100-AJ59)/(100-13)))</f>
        <v>1.3762528735632185</v>
      </c>
      <c r="AL59" s="13">
        <f>(AI59*((100-AJ59)/(100-13))/5)*10000</f>
        <v>2752.5057471264367</v>
      </c>
      <c r="AM59" s="14">
        <f>AL59/1000</f>
        <v>2.7525057471264369</v>
      </c>
      <c r="AN59" s="13">
        <v>8.4499999999999993</v>
      </c>
      <c r="AO59" s="13">
        <f>(AN59*((100-AJ59)/(100-13)))</f>
        <v>8.8773563218390805</v>
      </c>
      <c r="AP59" s="15">
        <v>1.234</v>
      </c>
      <c r="AQ59" s="13">
        <f>(AP59*((100-AJ59)/(100-13))/5)*10000</f>
        <v>2592.8183908045976</v>
      </c>
      <c r="AR59" s="16">
        <f>((1-(AL59-AQ59)/AL59))</f>
        <v>0.94198473282442741</v>
      </c>
    </row>
    <row r="60" spans="1:44" ht="15.6" x14ac:dyDescent="0.3">
      <c r="A60" s="4">
        <v>14</v>
      </c>
      <c r="B60" s="4">
        <v>4</v>
      </c>
      <c r="C60" s="5">
        <v>59</v>
      </c>
      <c r="D60" s="4">
        <v>2</v>
      </c>
      <c r="E60" s="22" t="s">
        <v>87</v>
      </c>
      <c r="F60" s="4" t="s">
        <v>48</v>
      </c>
      <c r="G60" s="6">
        <v>45615</v>
      </c>
      <c r="H60" s="4" t="s">
        <v>103</v>
      </c>
      <c r="I60" s="6">
        <v>45676</v>
      </c>
      <c r="J60" s="4">
        <f>I60-G60</f>
        <v>61</v>
      </c>
      <c r="K60" s="4">
        <v>51</v>
      </c>
      <c r="L60" s="4">
        <v>55</v>
      </c>
      <c r="M60" s="4">
        <v>53</v>
      </c>
      <c r="N60" s="4">
        <v>48</v>
      </c>
      <c r="O60" s="4">
        <v>55</v>
      </c>
      <c r="P60" s="5">
        <f>AVERAGE(K60:O60)</f>
        <v>52.4</v>
      </c>
      <c r="Q60" s="4"/>
      <c r="R60" s="4">
        <v>12</v>
      </c>
      <c r="S60" s="4">
        <v>16</v>
      </c>
      <c r="T60" s="4">
        <v>15</v>
      </c>
      <c r="U60" s="4">
        <v>19</v>
      </c>
      <c r="V60" s="4">
        <v>19</v>
      </c>
      <c r="W60" s="5">
        <f>AVERAGE(R60:V60)</f>
        <v>16.2</v>
      </c>
      <c r="X60" s="4">
        <v>74</v>
      </c>
      <c r="Y60" s="9">
        <v>70</v>
      </c>
      <c r="Z60" s="9"/>
      <c r="AA60" s="9"/>
      <c r="AB60" s="9">
        <v>79</v>
      </c>
      <c r="AC60" s="18">
        <f>AVERAGE(X60:AB60)</f>
        <v>74.333333333333329</v>
      </c>
      <c r="AD60" s="17" t="s">
        <v>106</v>
      </c>
      <c r="AE60" s="6">
        <v>45735</v>
      </c>
      <c r="AF60" s="4">
        <f>AE60-G60</f>
        <v>120</v>
      </c>
      <c r="AG60" s="4">
        <v>2</v>
      </c>
      <c r="AH60" s="4">
        <v>3</v>
      </c>
      <c r="AI60" s="11">
        <v>0.96399999999999997</v>
      </c>
      <c r="AJ60" s="12">
        <v>8.3000000000000007</v>
      </c>
      <c r="AK60" s="13">
        <f>(AI60*((100-AJ60)/(100-13)))</f>
        <v>1.0160781609195402</v>
      </c>
      <c r="AL60" s="13">
        <f>(AI60*((100-AJ60)/(100-13))/5)*10000</f>
        <v>2032.1563218390804</v>
      </c>
      <c r="AM60" s="14">
        <f>AL60/1000</f>
        <v>2.0321563218390803</v>
      </c>
      <c r="AN60" s="13">
        <v>6.83</v>
      </c>
      <c r="AO60" s="13">
        <f>(AN60*((100-AJ60)/(100-13)))</f>
        <v>7.1989770114942528</v>
      </c>
      <c r="AP60" s="15">
        <v>0.9</v>
      </c>
      <c r="AQ60" s="13">
        <f>(AP60*((100-AJ60)/(100-13))/5)*10000</f>
        <v>1897.2413793103447</v>
      </c>
      <c r="AR60" s="16">
        <f>((1-(AL60-AQ60)/AL60))</f>
        <v>0.93360995850622397</v>
      </c>
    </row>
    <row r="61" spans="1:44" ht="15.6" x14ac:dyDescent="0.3">
      <c r="A61" s="4">
        <v>15</v>
      </c>
      <c r="B61" s="4">
        <v>4</v>
      </c>
      <c r="C61" s="5">
        <v>60</v>
      </c>
      <c r="D61" s="4">
        <v>2</v>
      </c>
      <c r="E61" s="22" t="s">
        <v>74</v>
      </c>
      <c r="F61" s="4" t="s">
        <v>40</v>
      </c>
      <c r="G61" s="6">
        <v>45615</v>
      </c>
      <c r="H61" s="7" t="s">
        <v>104</v>
      </c>
      <c r="I61" s="6">
        <v>45656</v>
      </c>
      <c r="J61" s="4">
        <f>I61-G61</f>
        <v>41</v>
      </c>
      <c r="K61" s="4">
        <v>31</v>
      </c>
      <c r="L61" s="4">
        <v>34</v>
      </c>
      <c r="M61" s="4">
        <v>32</v>
      </c>
      <c r="N61" s="4">
        <v>26</v>
      </c>
      <c r="O61" s="4">
        <v>32</v>
      </c>
      <c r="P61" s="5">
        <f>AVERAGE(K61:O61)</f>
        <v>31</v>
      </c>
      <c r="Q61" s="8">
        <v>45718</v>
      </c>
      <c r="R61" s="4">
        <v>13</v>
      </c>
      <c r="S61" s="4">
        <v>9</v>
      </c>
      <c r="T61" s="4">
        <v>11</v>
      </c>
      <c r="U61" s="4">
        <v>7</v>
      </c>
      <c r="V61" s="4">
        <v>10</v>
      </c>
      <c r="W61" s="5">
        <f>AVERAGE(R61:V61)</f>
        <v>10</v>
      </c>
      <c r="X61" s="4">
        <v>100</v>
      </c>
      <c r="Y61" s="9">
        <v>94</v>
      </c>
      <c r="Z61" s="9">
        <v>86</v>
      </c>
      <c r="AA61" s="9">
        <v>75</v>
      </c>
      <c r="AB61" s="9">
        <v>91</v>
      </c>
      <c r="AC61" s="5">
        <f>AVERAGE(X61:AB61)</f>
        <v>89.2</v>
      </c>
      <c r="AD61" s="10" t="s">
        <v>105</v>
      </c>
      <c r="AE61" s="6">
        <v>45727</v>
      </c>
      <c r="AF61" s="4">
        <f>AE61-G61</f>
        <v>112</v>
      </c>
      <c r="AG61" s="4">
        <v>2</v>
      </c>
      <c r="AH61" s="4">
        <v>3</v>
      </c>
      <c r="AI61" s="11">
        <v>1.448</v>
      </c>
      <c r="AJ61" s="12">
        <v>8.1999999999999993</v>
      </c>
      <c r="AK61" s="13">
        <f>(AI61*((100-AJ61)/(100-13)))</f>
        <v>1.5278896551724135</v>
      </c>
      <c r="AL61" s="13">
        <f>(AI61*((100-AJ61)/(100-13))/5)*10000</f>
        <v>3055.7793103448271</v>
      </c>
      <c r="AM61" s="14">
        <f>AL61/1000</f>
        <v>3.055779310344827</v>
      </c>
      <c r="AN61" s="13">
        <v>12.67</v>
      </c>
      <c r="AO61" s="13">
        <f>(AN61*((100-AJ61)/(100-13)))</f>
        <v>13.36903448275862</v>
      </c>
      <c r="AP61" s="15">
        <v>1.1759999999999999</v>
      </c>
      <c r="AQ61" s="13">
        <f>(AP61*((100-AJ61)/(100-13))/5)*10000</f>
        <v>2481.7655172413788</v>
      </c>
      <c r="AR61" s="16">
        <f>((1-(AL61-AQ61)/AL61))</f>
        <v>0.81215469613259672</v>
      </c>
    </row>
    <row r="62" spans="1:44" ht="15.6" x14ac:dyDescent="0.3">
      <c r="A62" s="4">
        <v>15</v>
      </c>
      <c r="B62" s="4">
        <v>5</v>
      </c>
      <c r="C62" s="5">
        <v>61</v>
      </c>
      <c r="D62" s="4">
        <v>3</v>
      </c>
      <c r="E62" s="22" t="s">
        <v>84</v>
      </c>
      <c r="F62" s="4" t="s">
        <v>41</v>
      </c>
      <c r="G62" s="6">
        <v>45615</v>
      </c>
      <c r="H62" s="4" t="s">
        <v>103</v>
      </c>
      <c r="I62" s="6">
        <v>45672</v>
      </c>
      <c r="J62" s="4">
        <f>I62-G62</f>
        <v>57</v>
      </c>
      <c r="K62" s="4">
        <v>90</v>
      </c>
      <c r="L62" s="4">
        <v>80</v>
      </c>
      <c r="M62" s="4">
        <v>65</v>
      </c>
      <c r="N62" s="4">
        <v>75</v>
      </c>
      <c r="O62" s="4">
        <v>81</v>
      </c>
      <c r="P62" s="5">
        <f>AVERAGE(K62:O62)</f>
        <v>78.2</v>
      </c>
      <c r="Q62" s="8">
        <v>45729</v>
      </c>
      <c r="R62" s="4">
        <v>7</v>
      </c>
      <c r="S62" s="4">
        <v>8</v>
      </c>
      <c r="T62" s="4">
        <v>8</v>
      </c>
      <c r="U62" s="4">
        <v>11</v>
      </c>
      <c r="V62" s="4">
        <v>1</v>
      </c>
      <c r="W62" s="5">
        <f>AVERAGE(R62:V62)</f>
        <v>7</v>
      </c>
      <c r="X62" s="4">
        <v>103</v>
      </c>
      <c r="Y62" s="9">
        <v>105</v>
      </c>
      <c r="Z62" s="9">
        <v>111</v>
      </c>
      <c r="AA62" s="9">
        <v>93</v>
      </c>
      <c r="AB62" s="9">
        <v>110</v>
      </c>
      <c r="AC62" s="5">
        <f>AVERAGE(X62:AB62)</f>
        <v>104.4</v>
      </c>
      <c r="AD62" s="17" t="s">
        <v>106</v>
      </c>
      <c r="AE62" s="6">
        <v>45740</v>
      </c>
      <c r="AF62" s="4">
        <f>AE62-G62</f>
        <v>125</v>
      </c>
      <c r="AG62" s="4">
        <v>4</v>
      </c>
      <c r="AH62" s="4">
        <v>3</v>
      </c>
      <c r="AI62" s="11">
        <v>1.264</v>
      </c>
      <c r="AJ62" s="12">
        <v>8.8000000000000007</v>
      </c>
      <c r="AK62" s="13">
        <f>(AI62*((100-AJ62)/(100-13)))</f>
        <v>1.3250206896551726</v>
      </c>
      <c r="AL62" s="13">
        <f>(AI62*((100-AJ62)/(100-13))/5)*10000</f>
        <v>2650.0413793103448</v>
      </c>
      <c r="AM62" s="14">
        <f>AL62/1000</f>
        <v>2.6500413793103448</v>
      </c>
      <c r="AN62" s="13">
        <v>8.98</v>
      </c>
      <c r="AO62" s="13">
        <f>(AN62*((100-AJ62)/(100-13)))</f>
        <v>9.4135172413793118</v>
      </c>
      <c r="AP62" s="15">
        <v>1.018</v>
      </c>
      <c r="AQ62" s="13">
        <f>(AP62*((100-AJ62)/(100-13))/5)*10000</f>
        <v>2134.2896551724139</v>
      </c>
      <c r="AR62" s="16">
        <f>((1-(AL62-AQ62)/AL62))</f>
        <v>0.80537974683544311</v>
      </c>
    </row>
    <row r="63" spans="1:44" ht="15.6" x14ac:dyDescent="0.3">
      <c r="A63" s="4">
        <v>14</v>
      </c>
      <c r="B63" s="4">
        <v>5</v>
      </c>
      <c r="C63" s="5">
        <v>62</v>
      </c>
      <c r="D63" s="4">
        <v>3</v>
      </c>
      <c r="E63" s="22" t="s">
        <v>81</v>
      </c>
      <c r="F63" s="4" t="s">
        <v>28</v>
      </c>
      <c r="G63" s="6">
        <v>45615</v>
      </c>
      <c r="H63" s="7" t="s">
        <v>104</v>
      </c>
      <c r="I63" s="6">
        <v>45668</v>
      </c>
      <c r="J63" s="4">
        <f>I63-G63</f>
        <v>53</v>
      </c>
      <c r="K63" s="4">
        <v>52</v>
      </c>
      <c r="L63" s="4">
        <v>70</v>
      </c>
      <c r="M63" s="4">
        <v>44</v>
      </c>
      <c r="N63" s="4">
        <v>64</v>
      </c>
      <c r="O63" s="4">
        <v>68</v>
      </c>
      <c r="P63" s="5">
        <f>AVERAGE(K63:O63)</f>
        <v>59.6</v>
      </c>
      <c r="Q63" s="8">
        <v>45727</v>
      </c>
      <c r="R63" s="4">
        <v>8</v>
      </c>
      <c r="S63" s="4">
        <v>10</v>
      </c>
      <c r="T63" s="4">
        <v>22</v>
      </c>
      <c r="U63" s="4">
        <v>8</v>
      </c>
      <c r="V63" s="4">
        <v>14</v>
      </c>
      <c r="W63" s="5">
        <f>AVERAGE(R63:V63)</f>
        <v>12.4</v>
      </c>
      <c r="X63" s="4">
        <v>78</v>
      </c>
      <c r="Y63" s="9">
        <v>90</v>
      </c>
      <c r="Z63" s="9">
        <v>100</v>
      </c>
      <c r="AA63" s="9">
        <v>99</v>
      </c>
      <c r="AB63" s="9">
        <v>93</v>
      </c>
      <c r="AC63" s="5">
        <f>AVERAGE(X63:AB63)</f>
        <v>92</v>
      </c>
      <c r="AD63" s="17" t="s">
        <v>106</v>
      </c>
      <c r="AE63" s="6">
        <v>45740</v>
      </c>
      <c r="AF63" s="4">
        <f>AE63-G63</f>
        <v>125</v>
      </c>
      <c r="AG63" s="4">
        <v>3</v>
      </c>
      <c r="AH63" s="4">
        <v>3</v>
      </c>
      <c r="AI63" s="11">
        <v>0.872</v>
      </c>
      <c r="AJ63" s="12">
        <v>8.6999999999999993</v>
      </c>
      <c r="AK63" s="13">
        <f>(AI63*((100-AJ63)/(100-13)))</f>
        <v>0.91509885057471274</v>
      </c>
      <c r="AL63" s="13">
        <f>(AI63*((100-AJ63)/(100-13))/5)*10000</f>
        <v>1830.1977011494255</v>
      </c>
      <c r="AM63" s="14">
        <f>AL63/1000</f>
        <v>1.8301977011494255</v>
      </c>
      <c r="AN63" s="13">
        <v>11.09</v>
      </c>
      <c r="AO63" s="13">
        <f>(AN63*((100-AJ63)/(100-13)))</f>
        <v>11.63812643678161</v>
      </c>
      <c r="AP63" s="15">
        <v>0.73799999999999999</v>
      </c>
      <c r="AQ63" s="13">
        <f>(AP63*((100-AJ63)/(100-13))/5)*10000</f>
        <v>1548.951724137931</v>
      </c>
      <c r="AR63" s="16">
        <f>((1-(AL63-AQ63)/AL63))</f>
        <v>0.84633027522935766</v>
      </c>
    </row>
    <row r="64" spans="1:44" ht="15.6" x14ac:dyDescent="0.3">
      <c r="A64" s="4">
        <v>13</v>
      </c>
      <c r="B64" s="4">
        <v>5</v>
      </c>
      <c r="C64" s="5">
        <v>63</v>
      </c>
      <c r="D64" s="4">
        <v>3</v>
      </c>
      <c r="E64" s="22" t="s">
        <v>91</v>
      </c>
      <c r="F64" s="4" t="s">
        <v>50</v>
      </c>
      <c r="G64" s="6">
        <v>45615</v>
      </c>
      <c r="H64" s="4" t="s">
        <v>103</v>
      </c>
      <c r="I64" s="6">
        <v>45679</v>
      </c>
      <c r="J64" s="4">
        <f>I64-G64</f>
        <v>64</v>
      </c>
      <c r="K64" s="4">
        <v>56</v>
      </c>
      <c r="L64" s="4">
        <v>61</v>
      </c>
      <c r="M64" s="4">
        <v>54</v>
      </c>
      <c r="N64" s="4">
        <v>45</v>
      </c>
      <c r="O64" s="4">
        <v>50</v>
      </c>
      <c r="P64" s="5">
        <f>AVERAGE(K64:O64)</f>
        <v>53.2</v>
      </c>
      <c r="Q64" s="8">
        <v>45734</v>
      </c>
      <c r="R64" s="4">
        <v>6</v>
      </c>
      <c r="S64" s="4">
        <v>6</v>
      </c>
      <c r="T64" s="4">
        <v>13</v>
      </c>
      <c r="U64" s="4">
        <v>23</v>
      </c>
      <c r="V64" s="4">
        <v>14</v>
      </c>
      <c r="W64" s="5">
        <f>AVERAGE(R64:V64)</f>
        <v>12.4</v>
      </c>
      <c r="X64" s="4">
        <v>78</v>
      </c>
      <c r="Y64" s="9">
        <v>89</v>
      </c>
      <c r="Z64" s="9">
        <v>70</v>
      </c>
      <c r="AA64" s="9">
        <v>83</v>
      </c>
      <c r="AB64" s="9">
        <v>96</v>
      </c>
      <c r="AC64" s="5">
        <f>AVERAGE(X64:AB64)</f>
        <v>83.2</v>
      </c>
      <c r="AD64" s="17" t="s">
        <v>106</v>
      </c>
      <c r="AE64" s="6">
        <v>45734</v>
      </c>
      <c r="AF64" s="4">
        <f>AE64-G64</f>
        <v>119</v>
      </c>
      <c r="AG64" s="4">
        <v>2</v>
      </c>
      <c r="AH64" s="4">
        <v>2</v>
      </c>
      <c r="AI64" s="11">
        <v>0.97599999999999998</v>
      </c>
      <c r="AJ64" s="12">
        <v>8.3000000000000007</v>
      </c>
      <c r="AK64" s="13">
        <f>(AI64*((100-AJ64)/(100-13)))</f>
        <v>1.0287264367816091</v>
      </c>
      <c r="AL64" s="13">
        <f>(AI64*((100-AJ64)/(100-13))/5)*10000</f>
        <v>2057.4528735632184</v>
      </c>
      <c r="AM64" s="14">
        <f>AL64/1000</f>
        <v>2.0574528735632183</v>
      </c>
      <c r="AN64" s="13">
        <v>7.73</v>
      </c>
      <c r="AO64" s="13">
        <f>(AN64*((100-AJ64)/(100-13)))</f>
        <v>8.1475977011494258</v>
      </c>
      <c r="AP64" s="15">
        <v>0.39</v>
      </c>
      <c r="AQ64" s="13">
        <f>(AP64*((100-AJ64)/(100-13))/5)*10000</f>
        <v>822.13793103448268</v>
      </c>
      <c r="AR64" s="16">
        <f>((1-(AL64-AQ64)/AL64))</f>
        <v>0.39959016393442626</v>
      </c>
    </row>
    <row r="65" spans="1:44" ht="15.6" x14ac:dyDescent="0.3">
      <c r="A65" s="4">
        <v>12</v>
      </c>
      <c r="B65" s="4">
        <v>5</v>
      </c>
      <c r="C65" s="5">
        <v>64</v>
      </c>
      <c r="D65" s="4">
        <v>3</v>
      </c>
      <c r="E65" s="22" t="s">
        <v>93</v>
      </c>
      <c r="F65" s="4" t="s">
        <v>42</v>
      </c>
      <c r="G65" s="6">
        <v>45615</v>
      </c>
      <c r="H65" s="4" t="s">
        <v>103</v>
      </c>
      <c r="I65" s="6">
        <v>45675</v>
      </c>
      <c r="J65" s="4">
        <f>I65-G65</f>
        <v>60</v>
      </c>
      <c r="K65" s="4">
        <v>76</v>
      </c>
      <c r="L65" s="4">
        <v>71</v>
      </c>
      <c r="M65" s="4">
        <v>68</v>
      </c>
      <c r="N65" s="4">
        <v>56</v>
      </c>
      <c r="O65" s="4">
        <v>60</v>
      </c>
      <c r="P65" s="5">
        <f>AVERAGE(K65:O65)</f>
        <v>66.2</v>
      </c>
      <c r="Q65" s="8">
        <v>45729</v>
      </c>
      <c r="R65" s="4">
        <v>8</v>
      </c>
      <c r="S65" s="4">
        <v>23</v>
      </c>
      <c r="T65" s="4">
        <v>6</v>
      </c>
      <c r="U65" s="4">
        <v>19</v>
      </c>
      <c r="V65" s="4">
        <v>10</v>
      </c>
      <c r="W65" s="5">
        <f>AVERAGE(R65:V65)</f>
        <v>13.2</v>
      </c>
      <c r="X65" s="4">
        <v>81</v>
      </c>
      <c r="Y65" s="9">
        <v>80</v>
      </c>
      <c r="Z65" s="9">
        <v>86</v>
      </c>
      <c r="AA65" s="9">
        <v>84</v>
      </c>
      <c r="AB65" s="9">
        <v>87</v>
      </c>
      <c r="AC65" s="5">
        <f>AVERAGE(X65:AB65)</f>
        <v>83.6</v>
      </c>
      <c r="AD65" s="17" t="s">
        <v>106</v>
      </c>
      <c r="AE65" s="6">
        <v>45740</v>
      </c>
      <c r="AF65" s="4">
        <f>AE65-G65</f>
        <v>125</v>
      </c>
      <c r="AG65" s="4">
        <v>2</v>
      </c>
      <c r="AH65" s="4">
        <v>3</v>
      </c>
      <c r="AI65" s="11">
        <v>1.0740000000000001</v>
      </c>
      <c r="AJ65" s="12">
        <v>9.1</v>
      </c>
      <c r="AK65" s="13">
        <f>(AI65*((100-AJ65)/(100-13)))</f>
        <v>1.1221448275862069</v>
      </c>
      <c r="AL65" s="13">
        <f>(AI65*((100-AJ65)/(100-13))/5)*10000</f>
        <v>2244.2896551724139</v>
      </c>
      <c r="AM65" s="14">
        <f>AL65/1000</f>
        <v>2.2442896551724139</v>
      </c>
      <c r="AN65" s="13">
        <v>8.85</v>
      </c>
      <c r="AO65" s="13">
        <f>(AN65*((100-AJ65)/(100-13)))</f>
        <v>9.2467241379310341</v>
      </c>
      <c r="AP65" s="15">
        <v>0.84199999999999997</v>
      </c>
      <c r="AQ65" s="13">
        <f>(AP65*((100-AJ65)/(100-13))/5)*10000</f>
        <v>1759.4896551724137</v>
      </c>
      <c r="AR65" s="16">
        <f>((1-(AL65-AQ65)/AL65))</f>
        <v>0.78398510242085651</v>
      </c>
    </row>
    <row r="66" spans="1:44" ht="15.6" x14ac:dyDescent="0.3">
      <c r="A66" s="4">
        <v>11</v>
      </c>
      <c r="B66" s="4">
        <v>5</v>
      </c>
      <c r="C66" s="5">
        <v>65</v>
      </c>
      <c r="D66" s="4">
        <v>3</v>
      </c>
      <c r="E66" s="22" t="s">
        <v>99</v>
      </c>
      <c r="F66" s="4" t="s">
        <v>49</v>
      </c>
      <c r="G66" s="6">
        <v>45615</v>
      </c>
      <c r="H66" s="7" t="s">
        <v>104</v>
      </c>
      <c r="I66" s="6">
        <v>45675</v>
      </c>
      <c r="J66" s="4">
        <f>I66-G66</f>
        <v>60</v>
      </c>
      <c r="K66" s="4">
        <v>57</v>
      </c>
      <c r="L66" s="4">
        <v>59</v>
      </c>
      <c r="M66" s="4">
        <v>53</v>
      </c>
      <c r="N66" s="4">
        <v>62</v>
      </c>
      <c r="O66" s="4">
        <v>56</v>
      </c>
      <c r="P66" s="5">
        <f>AVERAGE(K66:O66)</f>
        <v>57.4</v>
      </c>
      <c r="Q66" s="8">
        <v>45721</v>
      </c>
      <c r="R66" s="4">
        <v>10</v>
      </c>
      <c r="S66" s="4">
        <v>20</v>
      </c>
      <c r="T66" s="4">
        <v>15</v>
      </c>
      <c r="U66" s="4">
        <v>8</v>
      </c>
      <c r="V66" s="4">
        <v>12</v>
      </c>
      <c r="W66" s="5">
        <f>AVERAGE(R66:V66)</f>
        <v>13</v>
      </c>
      <c r="X66" s="4">
        <v>52</v>
      </c>
      <c r="Y66" s="9">
        <v>63</v>
      </c>
      <c r="Z66" s="9">
        <v>59</v>
      </c>
      <c r="AA66" s="9">
        <v>70</v>
      </c>
      <c r="AB66" s="9">
        <v>69</v>
      </c>
      <c r="AC66" s="5">
        <f>AVERAGE(X66:AB66)</f>
        <v>62.6</v>
      </c>
      <c r="AD66" s="17" t="s">
        <v>106</v>
      </c>
      <c r="AE66" s="6">
        <v>45730</v>
      </c>
      <c r="AF66" s="4">
        <f>AE66-G66</f>
        <v>115</v>
      </c>
      <c r="AG66" s="4">
        <v>2</v>
      </c>
      <c r="AH66" s="4">
        <v>3</v>
      </c>
      <c r="AI66" s="11">
        <v>0.96399999999999997</v>
      </c>
      <c r="AJ66" s="12">
        <v>8.6999999999999993</v>
      </c>
      <c r="AK66" s="13">
        <f>(AI66*((100-AJ66)/(100-13)))</f>
        <v>1.0116459770114943</v>
      </c>
      <c r="AL66" s="13">
        <f>(AI66*((100-AJ66)/(100-13))/5)*10000</f>
        <v>2023.2919540229884</v>
      </c>
      <c r="AM66" s="14">
        <f>AL66/1000</f>
        <v>2.0232919540229886</v>
      </c>
      <c r="AN66" s="13">
        <v>8.19</v>
      </c>
      <c r="AO66" s="13">
        <f>(AN66*((100-AJ66)/(100-13)))</f>
        <v>8.594793103448275</v>
      </c>
      <c r="AP66" s="15">
        <v>0.86399999999999999</v>
      </c>
      <c r="AQ66" s="13">
        <f>(AP66*((100-AJ66)/(100-13))/5)*10000</f>
        <v>1813.4068965517242</v>
      </c>
      <c r="AR66" s="16">
        <f>((1-(AL66-AQ66)/AL66))</f>
        <v>0.89626556016597514</v>
      </c>
    </row>
    <row r="67" spans="1:44" ht="15.6" x14ac:dyDescent="0.3">
      <c r="A67" s="4">
        <v>10</v>
      </c>
      <c r="B67" s="4">
        <v>5</v>
      </c>
      <c r="C67" s="5">
        <v>66</v>
      </c>
      <c r="D67" s="4">
        <v>3</v>
      </c>
      <c r="E67" s="22" t="s">
        <v>100</v>
      </c>
      <c r="F67" s="4" t="s">
        <v>44</v>
      </c>
      <c r="G67" s="6">
        <v>45615</v>
      </c>
      <c r="H67" s="7" t="s">
        <v>104</v>
      </c>
      <c r="I67" s="6">
        <v>45668</v>
      </c>
      <c r="J67" s="4">
        <f>I67-G67</f>
        <v>53</v>
      </c>
      <c r="K67" s="4">
        <v>52</v>
      </c>
      <c r="L67" s="4">
        <v>48</v>
      </c>
      <c r="M67" s="4">
        <v>59</v>
      </c>
      <c r="N67" s="4">
        <v>42</v>
      </c>
      <c r="O67" s="4">
        <v>50</v>
      </c>
      <c r="P67" s="5">
        <f>AVERAGE(K67:O67)</f>
        <v>50.2</v>
      </c>
      <c r="Q67" s="8">
        <v>45721</v>
      </c>
      <c r="R67" s="4">
        <v>10</v>
      </c>
      <c r="S67" s="4">
        <v>10</v>
      </c>
      <c r="T67" s="4">
        <v>12</v>
      </c>
      <c r="U67" s="4">
        <v>10</v>
      </c>
      <c r="V67" s="4">
        <v>12</v>
      </c>
      <c r="W67" s="5">
        <f>AVERAGE(R67:V67)</f>
        <v>10.8</v>
      </c>
      <c r="X67" s="4">
        <v>74</v>
      </c>
      <c r="Y67" s="9">
        <v>61</v>
      </c>
      <c r="Z67" s="9">
        <v>58</v>
      </c>
      <c r="AA67" s="9">
        <v>49</v>
      </c>
      <c r="AB67" s="9">
        <v>70</v>
      </c>
      <c r="AC67" s="5">
        <f>AVERAGE(X67:AB67)</f>
        <v>62.4</v>
      </c>
      <c r="AD67" s="17" t="s">
        <v>106</v>
      </c>
      <c r="AE67" s="6">
        <v>45729</v>
      </c>
      <c r="AF67" s="4">
        <f>AE67-G67</f>
        <v>114</v>
      </c>
      <c r="AG67" s="4">
        <v>2</v>
      </c>
      <c r="AH67" s="4">
        <v>3</v>
      </c>
      <c r="AI67" s="11">
        <v>0.94599999999999995</v>
      </c>
      <c r="AJ67" s="12">
        <v>8.6</v>
      </c>
      <c r="AK67" s="13">
        <f>(AI67*((100-AJ67)/(100-13)))</f>
        <v>0.99384367816091956</v>
      </c>
      <c r="AL67" s="13">
        <f>(AI67*((100-AJ67)/(100-13))/5)*10000</f>
        <v>1987.6873563218392</v>
      </c>
      <c r="AM67" s="14">
        <f>AL67/1000</f>
        <v>1.9876873563218391</v>
      </c>
      <c r="AN67" s="13">
        <v>7.92</v>
      </c>
      <c r="AO67" s="13">
        <f>(AN67*((100-AJ67)/(100-13)))</f>
        <v>8.3205517241379319</v>
      </c>
      <c r="AP67" s="15">
        <v>0.85599999999999998</v>
      </c>
      <c r="AQ67" s="13">
        <f>(AP67*((100-AJ67)/(100-13))/5)*10000</f>
        <v>1798.5839080459771</v>
      </c>
      <c r="AR67" s="16">
        <f>((1-(AL67-AQ67)/AL67))</f>
        <v>0.90486257928118397</v>
      </c>
    </row>
    <row r="68" spans="1:44" ht="15.6" x14ac:dyDescent="0.3">
      <c r="A68" s="4">
        <v>9</v>
      </c>
      <c r="B68" s="4">
        <v>5</v>
      </c>
      <c r="C68" s="5">
        <v>67</v>
      </c>
      <c r="D68" s="4">
        <v>3</v>
      </c>
      <c r="E68" s="22" t="s">
        <v>86</v>
      </c>
      <c r="F68" s="4" t="s">
        <v>26</v>
      </c>
      <c r="G68" s="6">
        <v>45615</v>
      </c>
      <c r="H68" s="4" t="s">
        <v>103</v>
      </c>
      <c r="I68" s="6">
        <v>45669</v>
      </c>
      <c r="J68" s="4">
        <f>I68-G68</f>
        <v>54</v>
      </c>
      <c r="K68" s="4">
        <v>58</v>
      </c>
      <c r="L68" s="4">
        <v>52</v>
      </c>
      <c r="M68" s="4">
        <v>47</v>
      </c>
      <c r="N68" s="4">
        <v>49</v>
      </c>
      <c r="O68" s="4">
        <v>60</v>
      </c>
      <c r="P68" s="5">
        <f>AVERAGE(K68:O68)</f>
        <v>53.2</v>
      </c>
      <c r="Q68" s="8">
        <v>45727</v>
      </c>
      <c r="R68" s="4">
        <v>12</v>
      </c>
      <c r="S68" s="4">
        <v>9</v>
      </c>
      <c r="T68" s="4">
        <v>7</v>
      </c>
      <c r="U68" s="4">
        <v>6</v>
      </c>
      <c r="V68" s="4">
        <v>6</v>
      </c>
      <c r="W68" s="5">
        <f>AVERAGE(R68:V68)</f>
        <v>8</v>
      </c>
      <c r="X68" s="4">
        <v>72</v>
      </c>
      <c r="Y68" s="9">
        <v>77</v>
      </c>
      <c r="Z68" s="9">
        <v>79</v>
      </c>
      <c r="AA68" s="9">
        <v>75</v>
      </c>
      <c r="AB68" s="9">
        <v>60</v>
      </c>
      <c r="AC68" s="5">
        <f>AVERAGE(X68:AB68)</f>
        <v>72.599999999999994</v>
      </c>
      <c r="AD68" s="10" t="s">
        <v>105</v>
      </c>
      <c r="AE68" s="6">
        <v>45740</v>
      </c>
      <c r="AF68" s="4">
        <f>AE68-G68</f>
        <v>125</v>
      </c>
      <c r="AG68" s="4">
        <v>2</v>
      </c>
      <c r="AH68" s="4">
        <v>3</v>
      </c>
      <c r="AI68" s="11">
        <v>1.4</v>
      </c>
      <c r="AJ68" s="12">
        <v>7.9</v>
      </c>
      <c r="AK68" s="13">
        <f>(AI68*((100-AJ68)/(100-13)))</f>
        <v>1.4820689655172412</v>
      </c>
      <c r="AL68" s="13">
        <f>(AI68*((100-AJ68)/(100-13))/5)*10000</f>
        <v>2964.1379310344823</v>
      </c>
      <c r="AM68" s="14">
        <f>AL68/1000</f>
        <v>2.9641379310344824</v>
      </c>
      <c r="AN68" s="13">
        <v>12.75</v>
      </c>
      <c r="AO68" s="13">
        <f>(AN68*((100-AJ68)/(100-13)))</f>
        <v>13.497413793103448</v>
      </c>
      <c r="AP68" s="15">
        <v>1.1919999999999999</v>
      </c>
      <c r="AQ68" s="13">
        <f>(AP68*((100-AJ68)/(100-13))/5)*10000</f>
        <v>2523.751724137931</v>
      </c>
      <c r="AR68" s="16">
        <f>((1-(AL68-AQ68)/AL68))</f>
        <v>0.85142857142857153</v>
      </c>
    </row>
    <row r="69" spans="1:44" ht="15.6" x14ac:dyDescent="0.3">
      <c r="A69" s="4">
        <v>8</v>
      </c>
      <c r="B69" s="4">
        <v>5</v>
      </c>
      <c r="C69" s="5">
        <v>68</v>
      </c>
      <c r="D69" s="4">
        <v>3</v>
      </c>
      <c r="E69" s="22" t="s">
        <v>83</v>
      </c>
      <c r="F69" s="4" t="s">
        <v>37</v>
      </c>
      <c r="G69" s="6">
        <v>45615</v>
      </c>
      <c r="H69" s="4" t="s">
        <v>103</v>
      </c>
      <c r="I69" s="6">
        <v>45671</v>
      </c>
      <c r="J69" s="4">
        <f>I69-G69</f>
        <v>56</v>
      </c>
      <c r="K69" s="4">
        <v>70</v>
      </c>
      <c r="L69" s="4">
        <v>69</v>
      </c>
      <c r="M69" s="4">
        <v>71</v>
      </c>
      <c r="N69" s="4">
        <v>67</v>
      </c>
      <c r="O69" s="4">
        <v>64</v>
      </c>
      <c r="P69" s="5">
        <f>AVERAGE(K69:O69)</f>
        <v>68.2</v>
      </c>
      <c r="Q69" s="8">
        <v>45727</v>
      </c>
      <c r="R69" s="4">
        <v>8</v>
      </c>
      <c r="S69" s="4">
        <v>13</v>
      </c>
      <c r="T69" s="4">
        <v>10</v>
      </c>
      <c r="U69" s="4">
        <v>17</v>
      </c>
      <c r="V69" s="4">
        <v>6</v>
      </c>
      <c r="W69" s="5">
        <f>AVERAGE(R69:V69)</f>
        <v>10.8</v>
      </c>
      <c r="X69" s="4">
        <v>76</v>
      </c>
      <c r="Y69" s="9">
        <v>70</v>
      </c>
      <c r="Z69" s="9">
        <v>80</v>
      </c>
      <c r="AA69" s="9">
        <v>66</v>
      </c>
      <c r="AB69" s="9">
        <v>88</v>
      </c>
      <c r="AC69" s="5">
        <f>AVERAGE(X69:AB69)</f>
        <v>76</v>
      </c>
      <c r="AD69" s="17" t="s">
        <v>106</v>
      </c>
      <c r="AE69" s="6">
        <v>45740</v>
      </c>
      <c r="AF69" s="4">
        <f>AE69-G69</f>
        <v>125</v>
      </c>
      <c r="AG69" s="4">
        <v>2</v>
      </c>
      <c r="AH69" s="4">
        <v>3</v>
      </c>
      <c r="AI69" s="11">
        <v>1.466</v>
      </c>
      <c r="AJ69" s="12">
        <v>8.4</v>
      </c>
      <c r="AK69" s="13">
        <f>(AI69*((100-AJ69)/(100-13)))</f>
        <v>1.5435126436781608</v>
      </c>
      <c r="AL69" s="13">
        <f>(AI69*((100-AJ69)/(100-13))/5)*10000</f>
        <v>3087.0252873563213</v>
      </c>
      <c r="AM69" s="14">
        <f>AL69/1000</f>
        <v>3.0870252873563215</v>
      </c>
      <c r="AN69" s="13">
        <v>8.41</v>
      </c>
      <c r="AO69" s="13">
        <f>(AN69*((100-AJ69)/(100-13)))</f>
        <v>8.8546666666666667</v>
      </c>
      <c r="AP69" s="15">
        <v>1.0880000000000001</v>
      </c>
      <c r="AQ69" s="13">
        <f>(AP69*((100-AJ69)/(100-13))/5)*10000</f>
        <v>2291.0528735632183</v>
      </c>
      <c r="AR69" s="16">
        <f>((1-(AL69-AQ69)/AL69))</f>
        <v>0.74215552523874506</v>
      </c>
    </row>
    <row r="70" spans="1:44" ht="15.6" x14ac:dyDescent="0.3">
      <c r="A70" s="4">
        <v>7</v>
      </c>
      <c r="B70" s="4">
        <v>5</v>
      </c>
      <c r="C70" s="5">
        <v>69</v>
      </c>
      <c r="D70" s="4">
        <v>3</v>
      </c>
      <c r="E70" s="22" t="s">
        <v>88</v>
      </c>
      <c r="F70" s="4" t="s">
        <v>29</v>
      </c>
      <c r="G70" s="6">
        <v>45615</v>
      </c>
      <c r="H70" s="4" t="s">
        <v>103</v>
      </c>
      <c r="I70" s="6">
        <v>45665</v>
      </c>
      <c r="J70" s="4">
        <f>I70-G70</f>
        <v>50</v>
      </c>
      <c r="K70" s="4">
        <v>44</v>
      </c>
      <c r="L70" s="4">
        <v>36</v>
      </c>
      <c r="M70" s="4">
        <v>37</v>
      </c>
      <c r="N70" s="4">
        <v>35</v>
      </c>
      <c r="O70" s="4">
        <v>42</v>
      </c>
      <c r="P70" s="5">
        <f>AVERAGE(K70:O70)</f>
        <v>38.799999999999997</v>
      </c>
      <c r="Q70" s="8">
        <v>45720</v>
      </c>
      <c r="R70" s="4">
        <v>15</v>
      </c>
      <c r="S70" s="4">
        <v>12</v>
      </c>
      <c r="T70" s="4">
        <v>14</v>
      </c>
      <c r="U70" s="4">
        <v>10</v>
      </c>
      <c r="V70" s="4">
        <v>6</v>
      </c>
      <c r="W70" s="5">
        <f>AVERAGE(R70:V70)</f>
        <v>11.4</v>
      </c>
      <c r="X70" s="4">
        <v>85</v>
      </c>
      <c r="Y70" s="9">
        <v>77</v>
      </c>
      <c r="Z70" s="9">
        <v>77</v>
      </c>
      <c r="AA70" s="9">
        <v>71</v>
      </c>
      <c r="AB70" s="9">
        <v>63</v>
      </c>
      <c r="AC70" s="5">
        <f>AVERAGE(X70:AB70)</f>
        <v>74.599999999999994</v>
      </c>
      <c r="AD70" s="10" t="s">
        <v>105</v>
      </c>
      <c r="AE70" s="6">
        <v>45740</v>
      </c>
      <c r="AF70" s="4">
        <f>AE70-G70</f>
        <v>125</v>
      </c>
      <c r="AG70" s="4">
        <v>2</v>
      </c>
      <c r="AH70" s="4">
        <v>3</v>
      </c>
      <c r="AI70" s="11">
        <v>1.33</v>
      </c>
      <c r="AJ70" s="12">
        <v>8.1</v>
      </c>
      <c r="AK70" s="13">
        <f>(AI70*((100-AJ70)/(100-13)))</f>
        <v>1.4049080459770116</v>
      </c>
      <c r="AL70" s="13">
        <f>(AI70*((100-AJ70)/(100-13))/5)*10000</f>
        <v>2809.8160919540232</v>
      </c>
      <c r="AM70" s="14">
        <f>AL70/1000</f>
        <v>2.8098160919540232</v>
      </c>
      <c r="AN70" s="13">
        <v>12.51</v>
      </c>
      <c r="AO70" s="13">
        <f>(AN70*((100-AJ70)/(100-13)))</f>
        <v>13.214586206896552</v>
      </c>
      <c r="AP70" s="15">
        <v>1.1140000000000001</v>
      </c>
      <c r="AQ70" s="13">
        <f>(AP70*((100-AJ70)/(100-13))/5)*10000</f>
        <v>2353.4850574712646</v>
      </c>
      <c r="AR70" s="16">
        <f>((1-(AL70-AQ70)/AL70))</f>
        <v>0.837593984962406</v>
      </c>
    </row>
    <row r="71" spans="1:44" ht="15.6" x14ac:dyDescent="0.3">
      <c r="A71" s="4">
        <v>6</v>
      </c>
      <c r="B71" s="4">
        <v>5</v>
      </c>
      <c r="C71" s="5">
        <v>70</v>
      </c>
      <c r="D71" s="4">
        <v>3</v>
      </c>
      <c r="E71" s="22" t="s">
        <v>101</v>
      </c>
      <c r="F71" s="4" t="s">
        <v>33</v>
      </c>
      <c r="G71" s="6">
        <v>45615</v>
      </c>
      <c r="H71" s="4" t="s">
        <v>103</v>
      </c>
      <c r="I71" s="6">
        <v>45669</v>
      </c>
      <c r="J71" s="4">
        <f>I71-G71</f>
        <v>54</v>
      </c>
      <c r="K71" s="4">
        <v>56</v>
      </c>
      <c r="L71" s="4">
        <v>50</v>
      </c>
      <c r="M71" s="4">
        <v>52</v>
      </c>
      <c r="N71" s="4">
        <v>53</v>
      </c>
      <c r="O71" s="4">
        <v>54</v>
      </c>
      <c r="P71" s="5">
        <f>AVERAGE(K71:O71)</f>
        <v>53</v>
      </c>
      <c r="Q71" s="8">
        <v>45727</v>
      </c>
      <c r="R71" s="4">
        <v>9</v>
      </c>
      <c r="S71" s="4">
        <v>15</v>
      </c>
      <c r="T71" s="4">
        <v>12</v>
      </c>
      <c r="U71" s="4">
        <v>16</v>
      </c>
      <c r="V71" s="4">
        <v>10</v>
      </c>
      <c r="W71" s="5">
        <f>AVERAGE(R71:V71)</f>
        <v>12.4</v>
      </c>
      <c r="X71" s="4">
        <v>74</v>
      </c>
      <c r="Y71" s="9">
        <v>67</v>
      </c>
      <c r="Z71" s="9">
        <v>75</v>
      </c>
      <c r="AA71" s="9">
        <v>72</v>
      </c>
      <c r="AB71" s="9">
        <v>74</v>
      </c>
      <c r="AC71" s="5">
        <f>AVERAGE(X71:AB71)</f>
        <v>72.400000000000006</v>
      </c>
      <c r="AD71" s="17" t="s">
        <v>106</v>
      </c>
      <c r="AE71" s="6">
        <v>45740</v>
      </c>
      <c r="AF71" s="4">
        <f>AE71-G71</f>
        <v>125</v>
      </c>
      <c r="AG71" s="4">
        <v>2</v>
      </c>
      <c r="AH71" s="4">
        <v>3</v>
      </c>
      <c r="AI71" s="11">
        <v>1.6779999999999999</v>
      </c>
      <c r="AJ71" s="12">
        <v>8.1</v>
      </c>
      <c r="AK71" s="13">
        <f>(AI71*((100-AJ71)/(100-13)))</f>
        <v>1.7725080459770115</v>
      </c>
      <c r="AL71" s="13">
        <f>(AI71*((100-AJ71)/(100-13))/5)*10000</f>
        <v>3545.0160919540231</v>
      </c>
      <c r="AM71" s="14">
        <f>AL71/1000</f>
        <v>3.545016091954023</v>
      </c>
      <c r="AN71" s="13">
        <v>10.89</v>
      </c>
      <c r="AO71" s="13">
        <f>(AN71*((100-AJ71)/(100-13)))</f>
        <v>11.503344827586208</v>
      </c>
      <c r="AP71" s="15">
        <v>1</v>
      </c>
      <c r="AQ71" s="13">
        <f>(AP71*((100-AJ71)/(100-13))/5)*10000</f>
        <v>2112.64367816092</v>
      </c>
      <c r="AR71" s="16">
        <f>((1-(AL71-AQ71)/AL71))</f>
        <v>0.59594755661501797</v>
      </c>
    </row>
    <row r="72" spans="1:44" ht="15.6" x14ac:dyDescent="0.3">
      <c r="A72" s="4">
        <v>5</v>
      </c>
      <c r="B72" s="4">
        <v>5</v>
      </c>
      <c r="C72" s="5">
        <v>71</v>
      </c>
      <c r="D72" s="4">
        <v>3</v>
      </c>
      <c r="E72" s="22" t="s">
        <v>85</v>
      </c>
      <c r="F72" s="4" t="s">
        <v>36</v>
      </c>
      <c r="G72" s="6">
        <v>45615</v>
      </c>
      <c r="H72" s="4" t="s">
        <v>103</v>
      </c>
      <c r="I72" s="6">
        <v>45672</v>
      </c>
      <c r="J72" s="4">
        <f>I72-G72</f>
        <v>57</v>
      </c>
      <c r="K72" s="4">
        <v>75</v>
      </c>
      <c r="L72" s="4">
        <v>77</v>
      </c>
      <c r="M72" s="4">
        <v>69</v>
      </c>
      <c r="N72" s="4">
        <v>77</v>
      </c>
      <c r="O72" s="4">
        <v>73</v>
      </c>
      <c r="P72" s="5">
        <f>AVERAGE(K72:O72)</f>
        <v>74.2</v>
      </c>
      <c r="Q72" s="8">
        <v>45727</v>
      </c>
      <c r="R72" s="4">
        <v>12</v>
      </c>
      <c r="S72" s="4">
        <v>8</v>
      </c>
      <c r="T72" s="4">
        <v>20</v>
      </c>
      <c r="U72" s="4">
        <v>15</v>
      </c>
      <c r="V72" s="4">
        <v>17</v>
      </c>
      <c r="W72" s="5">
        <f>AVERAGE(R72:V72)</f>
        <v>14.4</v>
      </c>
      <c r="X72" s="4">
        <v>78</v>
      </c>
      <c r="Y72" s="9">
        <v>103</v>
      </c>
      <c r="Z72" s="9">
        <v>100</v>
      </c>
      <c r="AA72" s="9">
        <v>96</v>
      </c>
      <c r="AB72" s="9">
        <v>97</v>
      </c>
      <c r="AC72" s="5">
        <f>AVERAGE(X72:AB72)</f>
        <v>94.8</v>
      </c>
      <c r="AD72" s="17" t="s">
        <v>106</v>
      </c>
      <c r="AE72" s="6">
        <v>45734</v>
      </c>
      <c r="AF72" s="4">
        <f>AE72-G72</f>
        <v>119</v>
      </c>
      <c r="AG72" s="4">
        <v>3</v>
      </c>
      <c r="AH72" s="4">
        <v>3</v>
      </c>
      <c r="AI72" s="11">
        <v>1.508</v>
      </c>
      <c r="AJ72" s="12">
        <v>8.4</v>
      </c>
      <c r="AK72" s="13">
        <f>(AI72*((100-AJ72)/(100-13)))</f>
        <v>1.5877333333333332</v>
      </c>
      <c r="AL72" s="13">
        <f>(AI72*((100-AJ72)/(100-13))/5)*10000</f>
        <v>3175.4666666666662</v>
      </c>
      <c r="AM72" s="14">
        <f>AL72/1000</f>
        <v>3.1754666666666664</v>
      </c>
      <c r="AN72" s="13">
        <v>8.76</v>
      </c>
      <c r="AO72" s="13">
        <f>(AN72*((100-AJ72)/(100-13)))</f>
        <v>9.2231724137931028</v>
      </c>
      <c r="AP72" s="15">
        <v>1.054</v>
      </c>
      <c r="AQ72" s="13">
        <f>(AP72*((100-AJ72)/(100-13))/5)*10000</f>
        <v>2219.4574712643675</v>
      </c>
      <c r="AR72" s="16">
        <f>((1-(AL72-AQ72)/AL72))</f>
        <v>0.69893899204244025</v>
      </c>
    </row>
    <row r="73" spans="1:44" ht="15.6" x14ac:dyDescent="0.3">
      <c r="A73" s="4">
        <v>4</v>
      </c>
      <c r="B73" s="4">
        <v>5</v>
      </c>
      <c r="C73" s="5">
        <v>72</v>
      </c>
      <c r="D73" s="4">
        <v>3</v>
      </c>
      <c r="E73" s="22" t="s">
        <v>96</v>
      </c>
      <c r="F73" s="4" t="s">
        <v>47</v>
      </c>
      <c r="G73" s="6">
        <v>45615</v>
      </c>
      <c r="H73" s="4" t="s">
        <v>103</v>
      </c>
      <c r="I73" s="6">
        <v>45671</v>
      </c>
      <c r="J73" s="4">
        <f>I73-G73</f>
        <v>56</v>
      </c>
      <c r="K73" s="4">
        <v>42</v>
      </c>
      <c r="L73" s="4">
        <v>54</v>
      </c>
      <c r="M73" s="7">
        <v>40</v>
      </c>
      <c r="N73" s="4">
        <v>56</v>
      </c>
      <c r="O73" s="7">
        <v>42</v>
      </c>
      <c r="P73" s="5">
        <f>AVERAGE(K73:O73)</f>
        <v>46.8</v>
      </c>
      <c r="Q73" s="8">
        <v>45729</v>
      </c>
      <c r="R73" s="4">
        <v>10</v>
      </c>
      <c r="S73" s="4">
        <v>11</v>
      </c>
      <c r="T73" s="4">
        <v>9</v>
      </c>
      <c r="U73" s="4">
        <v>9</v>
      </c>
      <c r="V73" s="4">
        <v>7</v>
      </c>
      <c r="W73" s="5">
        <f>AVERAGE(R73:V73)</f>
        <v>9.1999999999999993</v>
      </c>
      <c r="X73" s="4">
        <v>47</v>
      </c>
      <c r="Y73" s="9">
        <v>69</v>
      </c>
      <c r="Z73" s="9">
        <v>72</v>
      </c>
      <c r="AA73" s="9">
        <v>73</v>
      </c>
      <c r="AB73" s="9">
        <v>66</v>
      </c>
      <c r="AC73" s="5">
        <f>AVERAGE(X73:AB73)</f>
        <v>65.400000000000006</v>
      </c>
      <c r="AD73" s="10" t="s">
        <v>105</v>
      </c>
      <c r="AE73" s="6">
        <v>45740</v>
      </c>
      <c r="AF73" s="4">
        <f>AE73-G73</f>
        <v>125</v>
      </c>
      <c r="AG73" s="4">
        <v>1</v>
      </c>
      <c r="AH73" s="4">
        <v>2</v>
      </c>
      <c r="AI73" s="11">
        <v>0.61399999999999999</v>
      </c>
      <c r="AJ73" s="12">
        <v>8.9</v>
      </c>
      <c r="AK73" s="13">
        <f>(AI73*((100-AJ73)/(100-13)))</f>
        <v>0.64293563218390803</v>
      </c>
      <c r="AL73" s="13">
        <f>(AI73*((100-AJ73)/(100-13))/5)*10000</f>
        <v>1285.8712643678161</v>
      </c>
      <c r="AM73" s="14">
        <f>AL73/1000</f>
        <v>1.2858712643678161</v>
      </c>
      <c r="AN73" s="13">
        <v>10.36</v>
      </c>
      <c r="AO73" s="13">
        <f>(AN73*((100-AJ73)/(100-13)))</f>
        <v>10.848229885057469</v>
      </c>
      <c r="AP73" s="15">
        <v>0.53</v>
      </c>
      <c r="AQ73" s="13">
        <f>(AP73*((100-AJ73)/(100-13))/5)*10000</f>
        <v>1109.9540229885056</v>
      </c>
      <c r="AR73" s="16">
        <f>((1-(AL73-AQ73)/AL73))</f>
        <v>0.86319218241042328</v>
      </c>
    </row>
    <row r="74" spans="1:44" ht="15.6" x14ac:dyDescent="0.3">
      <c r="A74" s="4">
        <v>3</v>
      </c>
      <c r="B74" s="4">
        <v>5</v>
      </c>
      <c r="C74" s="5">
        <v>73</v>
      </c>
      <c r="D74" s="4">
        <v>3</v>
      </c>
      <c r="E74" s="22" t="s">
        <v>90</v>
      </c>
      <c r="F74" s="4" t="s">
        <v>24</v>
      </c>
      <c r="G74" s="6">
        <v>45615</v>
      </c>
      <c r="H74" s="4" t="s">
        <v>103</v>
      </c>
      <c r="I74" s="6">
        <v>45663</v>
      </c>
      <c r="J74" s="4">
        <f>I74-G74</f>
        <v>48</v>
      </c>
      <c r="K74" s="4">
        <v>40</v>
      </c>
      <c r="L74" s="4">
        <v>42</v>
      </c>
      <c r="M74" s="4">
        <v>38</v>
      </c>
      <c r="N74" s="4">
        <v>37</v>
      </c>
      <c r="O74" s="4">
        <v>35</v>
      </c>
      <c r="P74" s="5">
        <f>AVERAGE(K74:O74)</f>
        <v>38.4</v>
      </c>
      <c r="Q74" s="8">
        <v>45719</v>
      </c>
      <c r="R74" s="4">
        <v>12</v>
      </c>
      <c r="S74" s="4">
        <v>13</v>
      </c>
      <c r="T74" s="4">
        <v>13</v>
      </c>
      <c r="U74" s="4">
        <v>12</v>
      </c>
      <c r="V74" s="4">
        <v>12</v>
      </c>
      <c r="W74" s="5">
        <f>AVERAGE(R74:V74)</f>
        <v>12.4</v>
      </c>
      <c r="X74" s="4">
        <v>94</v>
      </c>
      <c r="Y74" s="9"/>
      <c r="Z74" s="9">
        <v>97</v>
      </c>
      <c r="AA74" s="9">
        <v>90</v>
      </c>
      <c r="AB74" s="9">
        <v>95</v>
      </c>
      <c r="AC74" s="5">
        <f>AVERAGE(X74:AB74)</f>
        <v>94</v>
      </c>
      <c r="AD74" s="10" t="s">
        <v>105</v>
      </c>
      <c r="AE74" s="6">
        <v>45729</v>
      </c>
      <c r="AF74" s="4">
        <f>AE74-G74</f>
        <v>114</v>
      </c>
      <c r="AG74" s="4">
        <v>2</v>
      </c>
      <c r="AH74" s="4">
        <v>4</v>
      </c>
      <c r="AI74" s="11">
        <v>1.49</v>
      </c>
      <c r="AJ74" s="12">
        <v>8.1</v>
      </c>
      <c r="AK74" s="13">
        <f>(AI74*((100-AJ74)/(100-13)))</f>
        <v>1.5739195402298851</v>
      </c>
      <c r="AL74" s="13">
        <f>(AI74*((100-AJ74)/(100-13))/5)*10000</f>
        <v>3147.8390804597702</v>
      </c>
      <c r="AM74" s="14">
        <f>AL74/1000</f>
        <v>3.1478390804597702</v>
      </c>
      <c r="AN74" s="13">
        <v>11.92</v>
      </c>
      <c r="AO74" s="13">
        <f>(AN74*((100-AJ74)/(100-13)))</f>
        <v>12.591356321839081</v>
      </c>
      <c r="AP74" s="15">
        <v>1.3640000000000001</v>
      </c>
      <c r="AQ74" s="13">
        <f>(AP74*((100-AJ74)/(100-13))/5)*10000</f>
        <v>2881.6459770114943</v>
      </c>
      <c r="AR74" s="16">
        <f>((1-(AL74-AQ74)/AL74))</f>
        <v>0.91543624161073822</v>
      </c>
    </row>
    <row r="75" spans="1:44" ht="15.6" x14ac:dyDescent="0.3">
      <c r="A75" s="4">
        <v>2</v>
      </c>
      <c r="B75" s="4">
        <v>5</v>
      </c>
      <c r="C75" s="5">
        <v>74</v>
      </c>
      <c r="D75" s="4">
        <v>3</v>
      </c>
      <c r="E75" s="22" t="s">
        <v>95</v>
      </c>
      <c r="F75" s="4" t="s">
        <v>52</v>
      </c>
      <c r="G75" s="6">
        <v>45615</v>
      </c>
      <c r="H75" s="7" t="s">
        <v>104</v>
      </c>
      <c r="I75" s="6">
        <v>45677</v>
      </c>
      <c r="J75" s="4">
        <f>I75-G75</f>
        <v>62</v>
      </c>
      <c r="K75" s="4">
        <v>58</v>
      </c>
      <c r="L75" s="4">
        <v>56</v>
      </c>
      <c r="M75" s="4">
        <v>64</v>
      </c>
      <c r="N75" s="4">
        <v>53</v>
      </c>
      <c r="O75" s="4">
        <v>66</v>
      </c>
      <c r="P75" s="5">
        <f>AVERAGE(K75:O75)</f>
        <v>59.4</v>
      </c>
      <c r="Q75" s="8">
        <v>45729</v>
      </c>
      <c r="R75" s="4">
        <v>13</v>
      </c>
      <c r="S75" s="4">
        <v>10</v>
      </c>
      <c r="T75" s="4">
        <v>14</v>
      </c>
      <c r="U75" s="4">
        <v>9</v>
      </c>
      <c r="V75" s="4">
        <v>3</v>
      </c>
      <c r="W75" s="5">
        <f>AVERAGE(R75:V75)</f>
        <v>9.8000000000000007</v>
      </c>
      <c r="X75" s="4">
        <v>70</v>
      </c>
      <c r="Y75" s="9">
        <v>82</v>
      </c>
      <c r="Z75" s="9">
        <v>62</v>
      </c>
      <c r="AA75" s="9">
        <v>81</v>
      </c>
      <c r="AB75" s="9">
        <v>40</v>
      </c>
      <c r="AC75" s="5">
        <f>AVERAGE(X75:AB75)</f>
        <v>67</v>
      </c>
      <c r="AD75" s="17" t="s">
        <v>106</v>
      </c>
      <c r="AE75" s="6">
        <v>45735</v>
      </c>
      <c r="AF75" s="4">
        <f>AE75-G75</f>
        <v>120</v>
      </c>
      <c r="AG75" s="4">
        <v>2</v>
      </c>
      <c r="AH75" s="4">
        <v>3</v>
      </c>
      <c r="AI75" s="11">
        <v>0.66600000000000004</v>
      </c>
      <c r="AJ75" s="12">
        <v>8.6</v>
      </c>
      <c r="AK75" s="13">
        <f>(AI75*((100-AJ75)/(100-13)))</f>
        <v>0.69968275862068974</v>
      </c>
      <c r="AL75" s="13">
        <f>(AI75*((100-AJ75)/(100-13))/5)*10000</f>
        <v>1399.3655172413794</v>
      </c>
      <c r="AM75" s="14">
        <f>AL75/1000</f>
        <v>1.3993655172413795</v>
      </c>
      <c r="AN75" s="13">
        <v>8.44</v>
      </c>
      <c r="AO75" s="13">
        <f>(AN75*((100-AJ75)/(100-13)))</f>
        <v>8.8668505747126432</v>
      </c>
      <c r="AP75" s="15">
        <v>0.44</v>
      </c>
      <c r="AQ75" s="13">
        <f>(AP75*((100-AJ75)/(100-13))/5)*10000</f>
        <v>924.50574712643686</v>
      </c>
      <c r="AR75" s="16">
        <f>((1-(AL75-AQ75)/AL75))</f>
        <v>0.66066066066066065</v>
      </c>
    </row>
    <row r="76" spans="1:44" ht="15.6" x14ac:dyDescent="0.3">
      <c r="A76" s="4">
        <v>1</v>
      </c>
      <c r="B76" s="4">
        <v>5</v>
      </c>
      <c r="C76" s="5">
        <v>75</v>
      </c>
      <c r="D76" s="4">
        <v>3</v>
      </c>
      <c r="E76" s="22" t="s">
        <v>77</v>
      </c>
      <c r="F76" s="4" t="s">
        <v>45</v>
      </c>
      <c r="G76" s="6">
        <v>45615</v>
      </c>
      <c r="H76" s="4" t="s">
        <v>103</v>
      </c>
      <c r="I76" s="6">
        <v>45668</v>
      </c>
      <c r="J76" s="4">
        <f>I76-G76</f>
        <v>53</v>
      </c>
      <c r="K76" s="4">
        <v>84</v>
      </c>
      <c r="L76" s="4">
        <v>80</v>
      </c>
      <c r="M76" s="4">
        <v>66</v>
      </c>
      <c r="N76" s="4">
        <v>73</v>
      </c>
      <c r="O76" s="4">
        <v>85</v>
      </c>
      <c r="P76" s="5">
        <f>AVERAGE(K76:O76)</f>
        <v>77.599999999999994</v>
      </c>
      <c r="Q76" s="8">
        <v>45727</v>
      </c>
      <c r="R76" s="4">
        <v>10</v>
      </c>
      <c r="S76" s="4">
        <v>16</v>
      </c>
      <c r="T76" s="4">
        <v>13</v>
      </c>
      <c r="U76" s="4">
        <v>13</v>
      </c>
      <c r="V76" s="4">
        <v>8</v>
      </c>
      <c r="W76" s="5">
        <f>AVERAGE(R76:V76)</f>
        <v>12</v>
      </c>
      <c r="X76" s="4">
        <v>103</v>
      </c>
      <c r="Y76" s="9">
        <v>79</v>
      </c>
      <c r="Z76" s="9">
        <v>81</v>
      </c>
      <c r="AA76" s="9">
        <v>95</v>
      </c>
      <c r="AB76" s="9">
        <v>90</v>
      </c>
      <c r="AC76" s="5">
        <f>AVERAGE(X76:AB76)</f>
        <v>89.6</v>
      </c>
      <c r="AD76" s="17" t="s">
        <v>106</v>
      </c>
      <c r="AE76" s="6">
        <v>45734</v>
      </c>
      <c r="AF76" s="4">
        <f>AE76-G76</f>
        <v>119</v>
      </c>
      <c r="AG76" s="4">
        <v>3</v>
      </c>
      <c r="AH76" s="4">
        <v>3</v>
      </c>
      <c r="AI76" s="11">
        <v>1.1339999999999999</v>
      </c>
      <c r="AJ76" s="12">
        <v>8.9</v>
      </c>
      <c r="AK76" s="13">
        <f>(AI76*((100-AJ76)/(100-13)))</f>
        <v>1.1874413793103447</v>
      </c>
      <c r="AL76" s="13">
        <f>(AI76*((100-AJ76)/(100-13))/5)*10000</f>
        <v>2374.8827586206894</v>
      </c>
      <c r="AM76" s="14">
        <f>AL76/1000</f>
        <v>2.3748827586206893</v>
      </c>
      <c r="AN76" s="13">
        <v>9.4</v>
      </c>
      <c r="AO76" s="13">
        <f>(AN76*((100-AJ76)/(100-13)))</f>
        <v>9.842988505747126</v>
      </c>
      <c r="AP76" s="15">
        <v>0.71199999999999997</v>
      </c>
      <c r="AQ76" s="13">
        <f>(AP76*((100-AJ76)/(100-13))/5)*10000</f>
        <v>1491.1080459770112</v>
      </c>
      <c r="AR76" s="16">
        <f>((1-(AL76-AQ76)/AL76))</f>
        <v>0.6278659611992945</v>
      </c>
    </row>
    <row r="77" spans="1:44" ht="15.6" x14ac:dyDescent="0.3">
      <c r="A77" s="4">
        <v>1</v>
      </c>
      <c r="B77" s="4">
        <v>6</v>
      </c>
      <c r="C77" s="5">
        <v>76</v>
      </c>
      <c r="D77" s="4">
        <v>3</v>
      </c>
      <c r="E77" s="22" t="s">
        <v>102</v>
      </c>
      <c r="F77" s="4" t="s">
        <v>51</v>
      </c>
      <c r="G77" s="6">
        <v>45615</v>
      </c>
      <c r="H77" s="7" t="s">
        <v>104</v>
      </c>
      <c r="I77" s="6">
        <v>45675</v>
      </c>
      <c r="J77" s="4">
        <f>I77-G77</f>
        <v>60</v>
      </c>
      <c r="K77" s="4">
        <v>75</v>
      </c>
      <c r="L77" s="4">
        <v>60</v>
      </c>
      <c r="M77" s="4">
        <v>45</v>
      </c>
      <c r="N77" s="4">
        <v>72</v>
      </c>
      <c r="O77" s="4">
        <v>54</v>
      </c>
      <c r="P77" s="5">
        <f>AVERAGE(K77:O77)</f>
        <v>61.2</v>
      </c>
      <c r="Q77" s="8">
        <v>45729</v>
      </c>
      <c r="R77" s="4">
        <v>9</v>
      </c>
      <c r="S77" s="4">
        <v>5</v>
      </c>
      <c r="T77" s="4">
        <v>8</v>
      </c>
      <c r="U77" s="4">
        <v>6</v>
      </c>
      <c r="V77" s="4">
        <v>6</v>
      </c>
      <c r="W77" s="5">
        <f>AVERAGE(R77:V77)</f>
        <v>6.8</v>
      </c>
      <c r="X77" s="4">
        <v>56</v>
      </c>
      <c r="Y77" s="9">
        <v>69</v>
      </c>
      <c r="Z77" s="9">
        <v>55</v>
      </c>
      <c r="AA77" s="9">
        <v>59</v>
      </c>
      <c r="AB77" s="9">
        <v>64</v>
      </c>
      <c r="AC77" s="5">
        <f>AVERAGE(X77:AB77)</f>
        <v>60.6</v>
      </c>
      <c r="AD77" s="10" t="s">
        <v>105</v>
      </c>
      <c r="AE77" s="6">
        <v>45740</v>
      </c>
      <c r="AF77" s="4">
        <f>AE77-G77</f>
        <v>125</v>
      </c>
      <c r="AG77" s="4">
        <v>3</v>
      </c>
      <c r="AH77" s="4">
        <v>2</v>
      </c>
      <c r="AI77" s="11">
        <v>0.65600000000000003</v>
      </c>
      <c r="AJ77" s="12">
        <v>8.6999999999999993</v>
      </c>
      <c r="AK77" s="13">
        <f>(AI77*((100-AJ77)/(100-13)))</f>
        <v>0.68842298850574724</v>
      </c>
      <c r="AL77" s="13">
        <f>(AI77*((100-AJ77)/(100-13))/5)*10000</f>
        <v>1376.8459770114944</v>
      </c>
      <c r="AM77" s="14">
        <f>AL77/1000</f>
        <v>1.3768459770114945</v>
      </c>
      <c r="AN77" s="13">
        <v>18.46</v>
      </c>
      <c r="AO77" s="13">
        <f>(AN77*((100-AJ77)/(100-13)))</f>
        <v>19.372390804597703</v>
      </c>
      <c r="AP77" s="15">
        <v>0.24</v>
      </c>
      <c r="AQ77" s="13">
        <f>(AP77*((100-AJ77)/(100-13))/5)*10000</f>
        <v>503.72413793103453</v>
      </c>
      <c r="AR77" s="16">
        <f>((1-(AL77-AQ77)/AL77))</f>
        <v>0.36585365853658536</v>
      </c>
    </row>
    <row r="78" spans="1:44" ht="15.6" x14ac:dyDescent="0.3">
      <c r="A78" s="4">
        <v>2</v>
      </c>
      <c r="B78" s="4">
        <v>6</v>
      </c>
      <c r="C78" s="5">
        <v>77</v>
      </c>
      <c r="D78" s="4">
        <v>3</v>
      </c>
      <c r="E78" s="22" t="s">
        <v>75</v>
      </c>
      <c r="F78" s="4" t="s">
        <v>38</v>
      </c>
      <c r="G78" s="6">
        <v>45615</v>
      </c>
      <c r="H78" s="4" t="s">
        <v>103</v>
      </c>
      <c r="I78" s="6">
        <v>45663</v>
      </c>
      <c r="J78" s="4">
        <f>I78-G78</f>
        <v>48</v>
      </c>
      <c r="K78" s="4">
        <v>31</v>
      </c>
      <c r="L78" s="4">
        <v>36</v>
      </c>
      <c r="M78" s="4">
        <v>35</v>
      </c>
      <c r="N78" s="4">
        <v>33</v>
      </c>
      <c r="O78" s="4">
        <v>39</v>
      </c>
      <c r="P78" s="5">
        <f>AVERAGE(K78:O78)</f>
        <v>34.799999999999997</v>
      </c>
      <c r="Q78" s="8">
        <v>45720</v>
      </c>
      <c r="R78" s="4">
        <v>4</v>
      </c>
      <c r="S78" s="4">
        <v>8</v>
      </c>
      <c r="T78" s="4">
        <v>9</v>
      </c>
      <c r="U78" s="4">
        <v>4</v>
      </c>
      <c r="V78" s="4">
        <v>3</v>
      </c>
      <c r="W78" s="5">
        <f>AVERAGE(R78:V78)</f>
        <v>5.6</v>
      </c>
      <c r="X78" s="4">
        <v>40</v>
      </c>
      <c r="Y78" s="9">
        <v>42</v>
      </c>
      <c r="Z78" s="9">
        <v>39</v>
      </c>
      <c r="AA78" s="9">
        <v>42</v>
      </c>
      <c r="AB78" s="9">
        <v>39</v>
      </c>
      <c r="AC78" s="5">
        <f>AVERAGE(X78:AB78)</f>
        <v>40.4</v>
      </c>
      <c r="AD78" s="10" t="s">
        <v>105</v>
      </c>
      <c r="AE78" s="6">
        <v>45727</v>
      </c>
      <c r="AF78" s="4">
        <f>AE78-G78</f>
        <v>112</v>
      </c>
      <c r="AG78" s="4">
        <v>1</v>
      </c>
      <c r="AH78" s="4">
        <v>2</v>
      </c>
      <c r="AI78" s="11">
        <v>0.35799999999999998</v>
      </c>
      <c r="AJ78" s="12">
        <v>8.1999999999999993</v>
      </c>
      <c r="AK78" s="13">
        <f>(AI78*((100-AJ78)/(100-13)))</f>
        <v>0.37775172413793096</v>
      </c>
      <c r="AL78" s="13">
        <f>(AI78*((100-AJ78)/(100-13))/5)*10000</f>
        <v>755.50344827586184</v>
      </c>
      <c r="AM78" s="14">
        <f>AL78/1000</f>
        <v>0.7555034482758618</v>
      </c>
      <c r="AN78" s="13">
        <v>16.18</v>
      </c>
      <c r="AO78" s="13">
        <f>(AN78*((100-AJ78)/(100-13)))</f>
        <v>17.072689655172411</v>
      </c>
      <c r="AP78" s="15">
        <v>0.23200000000000001</v>
      </c>
      <c r="AQ78" s="13">
        <f>(AP78*((100-AJ78)/(100-13))/5)*10000</f>
        <v>489.59999999999997</v>
      </c>
      <c r="AR78" s="16">
        <f>((1-(AL78-AQ78)/AL78))</f>
        <v>0.64804469273743037</v>
      </c>
    </row>
    <row r="79" spans="1:44" ht="15.6" x14ac:dyDescent="0.3">
      <c r="A79" s="4">
        <v>3</v>
      </c>
      <c r="B79" s="4">
        <v>6</v>
      </c>
      <c r="C79" s="5">
        <v>78</v>
      </c>
      <c r="D79" s="4">
        <v>3</v>
      </c>
      <c r="E79" s="22" t="s">
        <v>94</v>
      </c>
      <c r="F79" s="4" t="s">
        <v>27</v>
      </c>
      <c r="G79" s="6">
        <v>45615</v>
      </c>
      <c r="H79" s="7" t="s">
        <v>104</v>
      </c>
      <c r="I79" s="6">
        <v>45665</v>
      </c>
      <c r="J79" s="4">
        <f>I79-G79</f>
        <v>50</v>
      </c>
      <c r="K79" s="4">
        <v>19</v>
      </c>
      <c r="L79" s="4">
        <v>29</v>
      </c>
      <c r="M79" s="4">
        <v>22</v>
      </c>
      <c r="N79" s="4">
        <v>32</v>
      </c>
      <c r="O79" s="4">
        <v>43</v>
      </c>
      <c r="P79" s="5">
        <f>AVERAGE(K79:O79)</f>
        <v>29</v>
      </c>
      <c r="Q79" s="8">
        <v>45730</v>
      </c>
      <c r="R79" s="4">
        <v>5</v>
      </c>
      <c r="S79" s="4">
        <v>7</v>
      </c>
      <c r="T79" s="4">
        <v>8</v>
      </c>
      <c r="U79" s="4">
        <v>5</v>
      </c>
      <c r="V79" s="4">
        <v>7</v>
      </c>
      <c r="W79" s="5">
        <f>AVERAGE(R79:V79)</f>
        <v>6.4</v>
      </c>
      <c r="X79" s="4">
        <v>60</v>
      </c>
      <c r="Y79" s="9">
        <v>63</v>
      </c>
      <c r="Z79" s="9">
        <v>55</v>
      </c>
      <c r="AA79" s="9">
        <v>67</v>
      </c>
      <c r="AB79" s="9">
        <v>32</v>
      </c>
      <c r="AC79" s="5">
        <f>AVERAGE(X79:AB79)</f>
        <v>55.4</v>
      </c>
      <c r="AD79" s="10" t="s">
        <v>105</v>
      </c>
      <c r="AE79" s="6">
        <v>45740</v>
      </c>
      <c r="AF79" s="4">
        <f>AE79-G79</f>
        <v>125</v>
      </c>
      <c r="AG79" s="4">
        <v>2</v>
      </c>
      <c r="AH79" s="4">
        <v>1</v>
      </c>
      <c r="AI79" s="11">
        <v>0.56599999999999995</v>
      </c>
      <c r="AJ79" s="12">
        <v>8.3000000000000007</v>
      </c>
      <c r="AK79" s="13">
        <f>(AI79*((100-AJ79)/(100-13)))</f>
        <v>0.5965770114942528</v>
      </c>
      <c r="AL79" s="13">
        <f>(AI79*((100-AJ79)/(100-13))/5)*10000</f>
        <v>1193.1540229885056</v>
      </c>
      <c r="AM79" s="14">
        <f>AL79/1000</f>
        <v>1.1931540229885056</v>
      </c>
      <c r="AN79" s="13">
        <v>12.78</v>
      </c>
      <c r="AO79" s="13">
        <f>(AN79*((100-AJ79)/(100-13)))</f>
        <v>13.470413793103447</v>
      </c>
      <c r="AP79" s="15">
        <v>0.47199999999999998</v>
      </c>
      <c r="AQ79" s="13">
        <f>(AP79*((100-AJ79)/(100-13))/5)*10000</f>
        <v>994.9977011494251</v>
      </c>
      <c r="AR79" s="16">
        <f>((1-(AL79-AQ79)/AL79))</f>
        <v>0.83392226148409887</v>
      </c>
    </row>
    <row r="80" spans="1:44" ht="15.6" x14ac:dyDescent="0.3">
      <c r="A80" s="4">
        <v>4</v>
      </c>
      <c r="B80" s="4">
        <v>6</v>
      </c>
      <c r="C80" s="5">
        <v>79</v>
      </c>
      <c r="D80" s="4">
        <v>3</v>
      </c>
      <c r="E80" s="22" t="s">
        <v>73</v>
      </c>
      <c r="F80" s="4" t="s">
        <v>23</v>
      </c>
      <c r="G80" s="6">
        <v>45615</v>
      </c>
      <c r="H80" s="7" t="s">
        <v>104</v>
      </c>
      <c r="I80" s="6">
        <v>45656</v>
      </c>
      <c r="J80" s="4">
        <f>I80-G80</f>
        <v>41</v>
      </c>
      <c r="K80" s="4">
        <v>15</v>
      </c>
      <c r="L80" s="4">
        <v>20</v>
      </c>
      <c r="M80" s="4">
        <v>17</v>
      </c>
      <c r="N80" s="4">
        <v>20</v>
      </c>
      <c r="O80" s="4">
        <v>20</v>
      </c>
      <c r="P80" s="5">
        <f>AVERAGE(K80:O80)</f>
        <v>18.399999999999999</v>
      </c>
      <c r="Q80" s="8">
        <v>45721</v>
      </c>
      <c r="R80" s="4">
        <v>9</v>
      </c>
      <c r="S80" s="4">
        <v>8</v>
      </c>
      <c r="T80" s="4">
        <v>13</v>
      </c>
      <c r="U80" s="4">
        <v>20</v>
      </c>
      <c r="V80" s="4">
        <v>8</v>
      </c>
      <c r="W80" s="5">
        <f>AVERAGE(R80:V80)</f>
        <v>11.6</v>
      </c>
      <c r="X80" s="4">
        <v>66</v>
      </c>
      <c r="Y80" s="9">
        <v>80</v>
      </c>
      <c r="Z80" s="9">
        <v>65</v>
      </c>
      <c r="AA80" s="9">
        <v>79</v>
      </c>
      <c r="AB80" s="9">
        <v>77</v>
      </c>
      <c r="AC80" s="5">
        <f>AVERAGE(X80:AB80)</f>
        <v>73.400000000000006</v>
      </c>
      <c r="AD80" s="10" t="s">
        <v>105</v>
      </c>
      <c r="AE80" s="6">
        <v>45737</v>
      </c>
      <c r="AF80" s="4">
        <f>AE80-G80</f>
        <v>122</v>
      </c>
      <c r="AG80" s="4">
        <v>2</v>
      </c>
      <c r="AH80" s="4">
        <v>3</v>
      </c>
      <c r="AI80" s="11">
        <v>0.97199999999999998</v>
      </c>
      <c r="AJ80" s="12">
        <v>8.3000000000000007</v>
      </c>
      <c r="AK80" s="13">
        <f>(AI80*((100-AJ80)/(100-13)))</f>
        <v>1.0245103448275861</v>
      </c>
      <c r="AL80" s="13">
        <f>(AI80*((100-AJ80)/(100-13))/5)*10000</f>
        <v>2049.0206896551722</v>
      </c>
      <c r="AM80" s="14">
        <f>AL80/1000</f>
        <v>2.0490206896551721</v>
      </c>
      <c r="AN80" s="13">
        <v>12.69</v>
      </c>
      <c r="AO80" s="13">
        <f>(AN80*((100-AJ80)/(100-13)))</f>
        <v>13.37555172413793</v>
      </c>
      <c r="AP80" s="15">
        <v>0.72399999999999998</v>
      </c>
      <c r="AQ80" s="13">
        <f>(AP80*((100-AJ80)/(100-13))/5)*10000</f>
        <v>1526.2252873563214</v>
      </c>
      <c r="AR80" s="16">
        <f>((1-(AL80-AQ80)/AL80))</f>
        <v>0.74485596707818913</v>
      </c>
    </row>
    <row r="81" spans="1:44" ht="15.6" x14ac:dyDescent="0.3">
      <c r="A81" s="4">
        <v>5</v>
      </c>
      <c r="B81" s="4">
        <v>6</v>
      </c>
      <c r="C81" s="5">
        <v>80</v>
      </c>
      <c r="D81" s="4">
        <v>3</v>
      </c>
      <c r="E81" s="22" t="s">
        <v>76</v>
      </c>
      <c r="F81" s="4" t="s">
        <v>31</v>
      </c>
      <c r="G81" s="6">
        <v>45615</v>
      </c>
      <c r="H81" s="7" t="s">
        <v>104</v>
      </c>
      <c r="I81" s="6">
        <v>45659</v>
      </c>
      <c r="J81" s="4">
        <f>I81-G81</f>
        <v>44</v>
      </c>
      <c r="K81" s="4">
        <v>27</v>
      </c>
      <c r="L81" s="4">
        <v>29</v>
      </c>
      <c r="M81" s="4">
        <v>22</v>
      </c>
      <c r="N81" s="4">
        <v>20</v>
      </c>
      <c r="O81" s="4">
        <v>26</v>
      </c>
      <c r="P81" s="5">
        <f>AVERAGE(K81:O81)</f>
        <v>24.8</v>
      </c>
      <c r="Q81" s="8">
        <v>45721</v>
      </c>
      <c r="R81" s="4">
        <v>12</v>
      </c>
      <c r="S81" s="4">
        <v>10</v>
      </c>
      <c r="T81" s="4">
        <v>9</v>
      </c>
      <c r="U81" s="4">
        <v>7</v>
      </c>
      <c r="V81" s="4">
        <v>8</v>
      </c>
      <c r="W81" s="5">
        <f>AVERAGE(R81:V81)</f>
        <v>9.1999999999999993</v>
      </c>
      <c r="X81" s="4">
        <v>80</v>
      </c>
      <c r="Y81" s="9">
        <v>70</v>
      </c>
      <c r="Z81" s="9">
        <v>60</v>
      </c>
      <c r="AA81" s="9">
        <v>65</v>
      </c>
      <c r="AB81" s="9">
        <v>70</v>
      </c>
      <c r="AC81" s="5">
        <f>AVERAGE(X81:AB81)</f>
        <v>69</v>
      </c>
      <c r="AD81" s="10" t="s">
        <v>105</v>
      </c>
      <c r="AE81" s="6">
        <v>45738</v>
      </c>
      <c r="AF81" s="4">
        <f>AE81-G81</f>
        <v>123</v>
      </c>
      <c r="AG81" s="4">
        <v>2</v>
      </c>
      <c r="AH81" s="4">
        <v>3</v>
      </c>
      <c r="AI81" s="11">
        <v>0.56799999999999995</v>
      </c>
      <c r="AJ81" s="12">
        <v>7.7</v>
      </c>
      <c r="AK81" s="13">
        <f>(AI81*((100-AJ81)/(100-13)))</f>
        <v>0.60260229885057459</v>
      </c>
      <c r="AL81" s="13">
        <f>(AI81*((100-AJ81)/(100-13))/5)*10000</f>
        <v>1205.2045977011492</v>
      </c>
      <c r="AM81" s="14">
        <f>AL81/1000</f>
        <v>1.2052045977011492</v>
      </c>
      <c r="AN81" s="13">
        <v>10.97</v>
      </c>
      <c r="AO81" s="13">
        <f>(AN81*((100-AJ81)/(100-13)))</f>
        <v>11.63828735632184</v>
      </c>
      <c r="AP81" s="15">
        <v>0.32800000000000001</v>
      </c>
      <c r="AQ81" s="13">
        <f>(AP81*((100-AJ81)/(100-13))/5)*10000</f>
        <v>695.96321839080463</v>
      </c>
      <c r="AR81" s="16">
        <f>((1-(AL81-AQ81)/AL81))</f>
        <v>0.57746478873239449</v>
      </c>
    </row>
    <row r="82" spans="1:44" ht="15.6" x14ac:dyDescent="0.3">
      <c r="A82" s="4">
        <v>6</v>
      </c>
      <c r="B82" s="4">
        <v>6</v>
      </c>
      <c r="C82" s="5">
        <v>81</v>
      </c>
      <c r="D82" s="4">
        <v>3</v>
      </c>
      <c r="E82" s="22" t="s">
        <v>89</v>
      </c>
      <c r="F82" s="4" t="s">
        <v>43</v>
      </c>
      <c r="G82" s="6">
        <v>45615</v>
      </c>
      <c r="H82" s="7" t="s">
        <v>104</v>
      </c>
      <c r="I82" s="6">
        <v>45665</v>
      </c>
      <c r="J82" s="4">
        <f>I82-G82</f>
        <v>50</v>
      </c>
      <c r="K82" s="4">
        <v>43</v>
      </c>
      <c r="L82" s="4">
        <v>42</v>
      </c>
      <c r="M82" s="4">
        <v>36</v>
      </c>
      <c r="N82" s="4">
        <v>41</v>
      </c>
      <c r="O82" s="4">
        <v>42</v>
      </c>
      <c r="P82" s="5">
        <f>AVERAGE(K82:O82)</f>
        <v>40.799999999999997</v>
      </c>
      <c r="Q82" s="8">
        <v>45719</v>
      </c>
      <c r="R82" s="4">
        <v>10</v>
      </c>
      <c r="S82" s="4">
        <v>6</v>
      </c>
      <c r="T82" s="4">
        <v>9</v>
      </c>
      <c r="U82" s="4">
        <v>13</v>
      </c>
      <c r="V82" s="4">
        <v>7</v>
      </c>
      <c r="W82" s="5">
        <f>AVERAGE(R82:V82)</f>
        <v>9</v>
      </c>
      <c r="X82" s="4">
        <v>63</v>
      </c>
      <c r="Y82" s="9">
        <v>48</v>
      </c>
      <c r="Z82" s="9">
        <v>53</v>
      </c>
      <c r="AA82" s="9">
        <v>68</v>
      </c>
      <c r="AB82" s="9">
        <v>68</v>
      </c>
      <c r="AC82" s="5">
        <f>AVERAGE(X82:AB82)</f>
        <v>60</v>
      </c>
      <c r="AD82" s="17" t="s">
        <v>106</v>
      </c>
      <c r="AE82" s="6">
        <v>45729</v>
      </c>
      <c r="AF82" s="4">
        <f>AE82-G82</f>
        <v>114</v>
      </c>
      <c r="AG82" s="4">
        <v>2</v>
      </c>
      <c r="AH82" s="4">
        <v>3</v>
      </c>
      <c r="AI82" s="11">
        <v>1</v>
      </c>
      <c r="AJ82" s="12">
        <v>8.8000000000000007</v>
      </c>
      <c r="AK82" s="13">
        <f>(AI82*((100-AJ82)/(100-13)))</f>
        <v>1.0482758620689656</v>
      </c>
      <c r="AL82" s="13">
        <f>(AI82*((100-AJ82)/(100-13))/5)*10000</f>
        <v>2096.5517241379312</v>
      </c>
      <c r="AM82" s="14">
        <f>AL82/1000</f>
        <v>2.0965517241379312</v>
      </c>
      <c r="AN82" s="13">
        <v>12.68</v>
      </c>
      <c r="AO82" s="13">
        <f>(AN82*((100-AJ82)/(100-13)))</f>
        <v>13.292137931034484</v>
      </c>
      <c r="AP82" s="15">
        <v>0.60799999999999998</v>
      </c>
      <c r="AQ82" s="13">
        <f>(AP82*((100-AJ82)/(100-13))/5)*10000</f>
        <v>1274.703448275862</v>
      </c>
      <c r="AR82" s="16">
        <f>((1-(AL82-AQ82)/AL82))</f>
        <v>0.60799999999999987</v>
      </c>
    </row>
    <row r="83" spans="1:44" ht="15.6" x14ac:dyDescent="0.3">
      <c r="A83" s="4">
        <v>7</v>
      </c>
      <c r="B83" s="4">
        <v>6</v>
      </c>
      <c r="C83" s="5">
        <v>82</v>
      </c>
      <c r="D83" s="4">
        <v>3</v>
      </c>
      <c r="E83" s="22" t="s">
        <v>98</v>
      </c>
      <c r="F83" s="4" t="s">
        <v>46</v>
      </c>
      <c r="G83" s="6">
        <v>45615</v>
      </c>
      <c r="H83" s="4" t="s">
        <v>103</v>
      </c>
      <c r="I83" s="6">
        <v>45672</v>
      </c>
      <c r="J83" s="4">
        <f>I83-G83</f>
        <v>57</v>
      </c>
      <c r="K83" s="4">
        <v>45</v>
      </c>
      <c r="L83" s="4">
        <v>44</v>
      </c>
      <c r="M83" s="4">
        <v>44</v>
      </c>
      <c r="N83" s="4">
        <v>41</v>
      </c>
      <c r="O83" s="4">
        <v>61</v>
      </c>
      <c r="P83" s="5">
        <f>AVERAGE(K83:O83)</f>
        <v>47</v>
      </c>
      <c r="Q83" s="8">
        <v>45727</v>
      </c>
      <c r="R83" s="4">
        <v>10</v>
      </c>
      <c r="S83" s="4">
        <v>12</v>
      </c>
      <c r="T83" s="4">
        <v>12</v>
      </c>
      <c r="U83" s="4">
        <v>8</v>
      </c>
      <c r="V83" s="4">
        <v>10</v>
      </c>
      <c r="W83" s="5">
        <f>AVERAGE(R83:V83)</f>
        <v>10.4</v>
      </c>
      <c r="X83" s="4">
        <v>102</v>
      </c>
      <c r="Y83" s="9">
        <v>54</v>
      </c>
      <c r="Z83" s="9">
        <v>42</v>
      </c>
      <c r="AA83" s="9">
        <v>46</v>
      </c>
      <c r="AB83" s="9">
        <v>50</v>
      </c>
      <c r="AC83" s="5">
        <f>AVERAGE(X83:AB83)</f>
        <v>58.8</v>
      </c>
      <c r="AD83" s="17" t="s">
        <v>106</v>
      </c>
      <c r="AE83" s="6">
        <v>45734</v>
      </c>
      <c r="AF83" s="4">
        <f>AE83-G83</f>
        <v>119</v>
      </c>
      <c r="AG83" s="4">
        <v>2</v>
      </c>
      <c r="AH83" s="4">
        <v>2</v>
      </c>
      <c r="AI83" s="11">
        <v>0.73599999999999999</v>
      </c>
      <c r="AJ83" s="12">
        <v>8.6</v>
      </c>
      <c r="AK83" s="13">
        <f>(AI83*((100-AJ83)/(100-13)))</f>
        <v>0.77322298850574711</v>
      </c>
      <c r="AL83" s="13">
        <f>(AI83*((100-AJ83)/(100-13))/5)*10000</f>
        <v>1546.4459770114941</v>
      </c>
      <c r="AM83" s="14">
        <f>AL83/1000</f>
        <v>1.546445977011494</v>
      </c>
      <c r="AN83" s="13">
        <v>9.3699999999999992</v>
      </c>
      <c r="AO83" s="13">
        <f>(AN83*((100-AJ83)/(100-13)))</f>
        <v>9.8438850574712635</v>
      </c>
      <c r="AP83" s="15">
        <v>0.60199999999999998</v>
      </c>
      <c r="AQ83" s="13">
        <f>(AP83*((100-AJ83)/(100-13))/5)*10000</f>
        <v>1264.8919540229886</v>
      </c>
      <c r="AR83" s="16">
        <f>((1-(AL83-AQ83)/AL83))</f>
        <v>0.81793478260869579</v>
      </c>
    </row>
    <row r="84" spans="1:44" ht="15.6" x14ac:dyDescent="0.3">
      <c r="A84" s="4">
        <v>8</v>
      </c>
      <c r="B84" s="4">
        <v>6</v>
      </c>
      <c r="C84" s="5">
        <v>83</v>
      </c>
      <c r="D84" s="4">
        <v>3</v>
      </c>
      <c r="E84" s="22" t="s">
        <v>79</v>
      </c>
      <c r="F84" s="4" t="s">
        <v>34</v>
      </c>
      <c r="G84" s="6">
        <v>45615</v>
      </c>
      <c r="H84" s="7" t="s">
        <v>104</v>
      </c>
      <c r="I84" s="6">
        <v>45676</v>
      </c>
      <c r="J84" s="4">
        <f>I84-G84</f>
        <v>61</v>
      </c>
      <c r="K84" s="4">
        <v>70</v>
      </c>
      <c r="L84" s="4">
        <v>60</v>
      </c>
      <c r="M84" s="4">
        <v>52</v>
      </c>
      <c r="N84" s="4">
        <v>51</v>
      </c>
      <c r="O84" s="4">
        <v>65</v>
      </c>
      <c r="P84" s="5">
        <f>AVERAGE(K84:O84)</f>
        <v>59.6</v>
      </c>
      <c r="Q84" s="8">
        <v>45727</v>
      </c>
      <c r="R84" s="4">
        <v>6</v>
      </c>
      <c r="S84" s="4">
        <v>8</v>
      </c>
      <c r="T84" s="4">
        <v>9</v>
      </c>
      <c r="U84" s="4">
        <v>8</v>
      </c>
      <c r="V84" s="4">
        <v>20</v>
      </c>
      <c r="W84" s="5">
        <f>AVERAGE(R84:V84)</f>
        <v>10.199999999999999</v>
      </c>
      <c r="X84" s="4">
        <v>80</v>
      </c>
      <c r="Y84" s="9">
        <v>71</v>
      </c>
      <c r="Z84" s="9">
        <v>87</v>
      </c>
      <c r="AA84" s="9">
        <v>72</v>
      </c>
      <c r="AB84" s="9">
        <v>77</v>
      </c>
      <c r="AC84" s="5">
        <f>AVERAGE(X84:AB84)</f>
        <v>77.400000000000006</v>
      </c>
      <c r="AD84" s="17" t="s">
        <v>106</v>
      </c>
      <c r="AE84" s="6">
        <v>45740</v>
      </c>
      <c r="AF84" s="4">
        <f>AE84-G84</f>
        <v>125</v>
      </c>
      <c r="AG84" s="4">
        <v>4</v>
      </c>
      <c r="AH84" s="4">
        <v>2</v>
      </c>
      <c r="AI84" s="11">
        <v>1.1459999999999999</v>
      </c>
      <c r="AJ84" s="12">
        <v>8.9</v>
      </c>
      <c r="AK84" s="13">
        <f>(AI84*((100-AJ84)/(100-13)))</f>
        <v>1.2000068965517239</v>
      </c>
      <c r="AL84" s="13">
        <f>(AI84*((100-AJ84)/(100-13))/5)*10000</f>
        <v>2400.0137931034478</v>
      </c>
      <c r="AM84" s="14">
        <f>AL84/1000</f>
        <v>2.4000137931034478</v>
      </c>
      <c r="AN84" s="13">
        <v>9.0299999999999994</v>
      </c>
      <c r="AO84" s="13">
        <f>(AN84*((100-AJ84)/(100-13)))</f>
        <v>9.4555517241379299</v>
      </c>
      <c r="AP84" s="15">
        <v>0.88</v>
      </c>
      <c r="AQ84" s="13">
        <f>(AP84*((100-AJ84)/(100-13))/5)*10000</f>
        <v>1842.9425287356321</v>
      </c>
      <c r="AR84" s="16">
        <f>((1-(AL84-AQ84)/AL84))</f>
        <v>0.76788830715532297</v>
      </c>
    </row>
    <row r="85" spans="1:44" ht="15.6" x14ac:dyDescent="0.3">
      <c r="A85" s="4">
        <v>9</v>
      </c>
      <c r="B85" s="4">
        <v>6</v>
      </c>
      <c r="C85" s="5">
        <v>84</v>
      </c>
      <c r="D85" s="4">
        <v>3</v>
      </c>
      <c r="E85" s="22" t="s">
        <v>74</v>
      </c>
      <c r="F85" s="4" t="s">
        <v>40</v>
      </c>
      <c r="G85" s="6">
        <v>45615</v>
      </c>
      <c r="H85" s="7" t="s">
        <v>104</v>
      </c>
      <c r="I85" s="6">
        <v>45653</v>
      </c>
      <c r="J85" s="4">
        <f>I85-G85</f>
        <v>38</v>
      </c>
      <c r="K85" s="4">
        <v>30</v>
      </c>
      <c r="L85" s="4">
        <v>31</v>
      </c>
      <c r="M85" s="4">
        <v>25</v>
      </c>
      <c r="N85" s="4">
        <v>25</v>
      </c>
      <c r="O85" s="4">
        <v>35</v>
      </c>
      <c r="P85" s="5">
        <f>AVERAGE(K85:O85)</f>
        <v>29.2</v>
      </c>
      <c r="Q85" s="8">
        <v>45716</v>
      </c>
      <c r="R85" s="4">
        <v>8</v>
      </c>
      <c r="S85" s="4">
        <v>9</v>
      </c>
      <c r="T85" s="4">
        <v>10</v>
      </c>
      <c r="U85" s="4">
        <v>10</v>
      </c>
      <c r="V85" s="4">
        <v>6</v>
      </c>
      <c r="W85" s="5">
        <f>AVERAGE(R85:V85)</f>
        <v>8.6</v>
      </c>
      <c r="X85" s="4">
        <v>74</v>
      </c>
      <c r="Y85" s="9">
        <v>81</v>
      </c>
      <c r="Z85" s="9">
        <v>81</v>
      </c>
      <c r="AA85" s="9">
        <v>54</v>
      </c>
      <c r="AB85" s="9">
        <v>76</v>
      </c>
      <c r="AC85" s="5">
        <f>AVERAGE(X85:AB85)</f>
        <v>73.2</v>
      </c>
      <c r="AD85" s="10" t="s">
        <v>105</v>
      </c>
      <c r="AE85" s="6">
        <v>45727</v>
      </c>
      <c r="AF85" s="4">
        <f>AE85-G85</f>
        <v>112</v>
      </c>
      <c r="AG85" s="4">
        <v>2</v>
      </c>
      <c r="AH85" s="4">
        <v>3</v>
      </c>
      <c r="AI85" s="11">
        <v>0.91600000000000004</v>
      </c>
      <c r="AJ85" s="12">
        <v>7.8</v>
      </c>
      <c r="AK85" s="13">
        <f>(AI85*((100-AJ85)/(100-13)))</f>
        <v>0.9707494252873563</v>
      </c>
      <c r="AL85" s="13">
        <f>(AI85*((100-AJ85)/(100-13))/5)*10000</f>
        <v>1941.4988505747128</v>
      </c>
      <c r="AM85" s="14">
        <f>AL85/1000</f>
        <v>1.9414988505747128</v>
      </c>
      <c r="AN85" s="13">
        <v>11.81</v>
      </c>
      <c r="AO85" s="13">
        <f>(AN85*((100-AJ85)/(100-13)))</f>
        <v>12.515885057471264</v>
      </c>
      <c r="AP85" s="15">
        <v>0.57599999999999996</v>
      </c>
      <c r="AQ85" s="13">
        <f>(AP85*((100-AJ85)/(100-13))/5)*10000</f>
        <v>1220.8551724137931</v>
      </c>
      <c r="AR85" s="16">
        <f>((1-(AL85-AQ85)/AL85))</f>
        <v>0.62882096069868987</v>
      </c>
    </row>
    <row r="86" spans="1:44" ht="15.6" x14ac:dyDescent="0.3">
      <c r="A86" s="4">
        <v>10</v>
      </c>
      <c r="B86" s="4">
        <v>6</v>
      </c>
      <c r="C86" s="5">
        <v>85</v>
      </c>
      <c r="D86" s="4">
        <v>3</v>
      </c>
      <c r="E86" s="22" t="s">
        <v>82</v>
      </c>
      <c r="F86" s="4" t="s">
        <v>25</v>
      </c>
      <c r="G86" s="6">
        <v>45615</v>
      </c>
      <c r="H86" s="4" t="s">
        <v>103</v>
      </c>
      <c r="I86" s="6">
        <v>45665</v>
      </c>
      <c r="J86" s="4">
        <f>I86-G86</f>
        <v>50</v>
      </c>
      <c r="K86" s="4">
        <v>40</v>
      </c>
      <c r="L86" s="4">
        <v>29</v>
      </c>
      <c r="M86" s="4">
        <v>30</v>
      </c>
      <c r="N86" s="4">
        <v>31</v>
      </c>
      <c r="O86" s="4">
        <v>24</v>
      </c>
      <c r="P86" s="5">
        <f>AVERAGE(K86:O86)</f>
        <v>30.8</v>
      </c>
      <c r="Q86" s="8">
        <v>45721</v>
      </c>
      <c r="R86" s="4">
        <v>10</v>
      </c>
      <c r="S86" s="4">
        <v>7</v>
      </c>
      <c r="T86" s="4">
        <v>4</v>
      </c>
      <c r="U86" s="4">
        <v>9</v>
      </c>
      <c r="V86" s="4">
        <v>9</v>
      </c>
      <c r="W86" s="5">
        <f>AVERAGE(R86:V86)</f>
        <v>7.8</v>
      </c>
      <c r="X86" s="4">
        <v>78</v>
      </c>
      <c r="Y86" s="9">
        <v>52</v>
      </c>
      <c r="Z86" s="9">
        <v>79</v>
      </c>
      <c r="AA86" s="9">
        <v>90</v>
      </c>
      <c r="AB86" s="9">
        <v>67</v>
      </c>
      <c r="AC86" s="5">
        <f>AVERAGE(X86:AB86)</f>
        <v>73.2</v>
      </c>
      <c r="AD86" s="17" t="s">
        <v>106</v>
      </c>
      <c r="AE86" s="6">
        <v>45740</v>
      </c>
      <c r="AF86" s="4">
        <f>AE86-G86</f>
        <v>125</v>
      </c>
      <c r="AG86" s="4">
        <v>3</v>
      </c>
      <c r="AH86" s="4">
        <v>3</v>
      </c>
      <c r="AI86" s="11">
        <v>0.86199999999999999</v>
      </c>
      <c r="AJ86" s="12">
        <v>8.3000000000000007</v>
      </c>
      <c r="AK86" s="13">
        <f>(AI86*((100-AJ86)/(100-13)))</f>
        <v>0.90856781609195392</v>
      </c>
      <c r="AL86" s="13">
        <f>(AI86*((100-AJ86)/(100-13))/5)*10000</f>
        <v>1817.1356321839078</v>
      </c>
      <c r="AM86" s="14">
        <f>AL86/1000</f>
        <v>1.8171356321839078</v>
      </c>
      <c r="AN86" s="13">
        <v>10.76</v>
      </c>
      <c r="AO86" s="13">
        <f>(AN86*((100-AJ86)/(100-13)))</f>
        <v>11.341287356321837</v>
      </c>
      <c r="AP86" s="15">
        <v>0.70799999999999996</v>
      </c>
      <c r="AQ86" s="13">
        <f>(AP86*((100-AJ86)/(100-13))/5)*10000</f>
        <v>1492.4965517241378</v>
      </c>
      <c r="AR86" s="16">
        <f>((1-(AL86-AQ86)/AL86))</f>
        <v>0.82134570765661263</v>
      </c>
    </row>
    <row r="87" spans="1:44" ht="15.6" x14ac:dyDescent="0.3">
      <c r="A87" s="4">
        <v>11</v>
      </c>
      <c r="B87" s="4">
        <v>6</v>
      </c>
      <c r="C87" s="5">
        <v>86</v>
      </c>
      <c r="D87" s="4">
        <v>3</v>
      </c>
      <c r="E87" s="22" t="s">
        <v>97</v>
      </c>
      <c r="F87" s="4" t="s">
        <v>32</v>
      </c>
      <c r="G87" s="6">
        <v>45615</v>
      </c>
      <c r="H87" s="4" t="s">
        <v>103</v>
      </c>
      <c r="I87" s="6">
        <v>45672</v>
      </c>
      <c r="J87" s="4">
        <f>I87-G87</f>
        <v>57</v>
      </c>
      <c r="K87" s="4">
        <v>38</v>
      </c>
      <c r="L87" s="4">
        <v>40</v>
      </c>
      <c r="M87" s="4">
        <v>42</v>
      </c>
      <c r="N87" s="4">
        <v>44</v>
      </c>
      <c r="O87" s="4">
        <v>40</v>
      </c>
      <c r="P87" s="5">
        <f>AVERAGE(K87:O87)</f>
        <v>40.799999999999997</v>
      </c>
      <c r="Q87" s="8">
        <v>45721</v>
      </c>
      <c r="R87" s="4">
        <v>9</v>
      </c>
      <c r="S87" s="4">
        <v>12</v>
      </c>
      <c r="T87" s="4">
        <v>16</v>
      </c>
      <c r="U87" s="4">
        <v>10</v>
      </c>
      <c r="V87" s="4">
        <v>13</v>
      </c>
      <c r="W87" s="5">
        <f>AVERAGE(R87:V87)</f>
        <v>12</v>
      </c>
      <c r="X87" s="4">
        <v>39</v>
      </c>
      <c r="Y87" s="9">
        <v>53</v>
      </c>
      <c r="Z87" s="9">
        <v>56</v>
      </c>
      <c r="AA87" s="9">
        <v>50</v>
      </c>
      <c r="AB87" s="9">
        <v>53</v>
      </c>
      <c r="AC87" s="5">
        <f>AVERAGE(X87:AB87)</f>
        <v>50.2</v>
      </c>
      <c r="AD87" s="17" t="s">
        <v>106</v>
      </c>
      <c r="AE87" s="6">
        <v>45740</v>
      </c>
      <c r="AF87" s="4">
        <f>AE87-G87</f>
        <v>125</v>
      </c>
      <c r="AG87" s="4">
        <v>2</v>
      </c>
      <c r="AH87" s="4">
        <v>2</v>
      </c>
      <c r="AI87" s="11">
        <v>1.0149999999999999</v>
      </c>
      <c r="AJ87" s="12">
        <v>8.4</v>
      </c>
      <c r="AK87" s="13">
        <f>(AI87*((100-AJ87)/(100-13)))</f>
        <v>1.0686666666666664</v>
      </c>
      <c r="AL87" s="13">
        <f>(AI87*((100-AJ87)/(100-13))/5)*10000</f>
        <v>2137.3333333333326</v>
      </c>
      <c r="AM87" s="14">
        <f>AL87/1000</f>
        <v>2.1373333333333324</v>
      </c>
      <c r="AN87" s="13">
        <v>7.29</v>
      </c>
      <c r="AO87" s="13">
        <f>(AN87*((100-AJ87)/(100-13)))</f>
        <v>7.6754482758620686</v>
      </c>
      <c r="AP87" s="15">
        <v>0.82799999999999996</v>
      </c>
      <c r="AQ87" s="13">
        <f>(AP87*((100-AJ87)/(100-13))/5)*10000</f>
        <v>1743.5586206896551</v>
      </c>
      <c r="AR87" s="16">
        <f>((1-(AL87-AQ87)/AL87))</f>
        <v>0.81576354679802976</v>
      </c>
    </row>
    <row r="88" spans="1:44" ht="15.6" x14ac:dyDescent="0.3">
      <c r="A88" s="4">
        <v>12</v>
      </c>
      <c r="B88" s="4">
        <v>6</v>
      </c>
      <c r="C88" s="5">
        <v>87</v>
      </c>
      <c r="D88" s="4">
        <v>3</v>
      </c>
      <c r="E88" s="22" t="s">
        <v>80</v>
      </c>
      <c r="F88" s="4" t="s">
        <v>30</v>
      </c>
      <c r="G88" s="6">
        <v>45615</v>
      </c>
      <c r="H88" s="7" t="s">
        <v>104</v>
      </c>
      <c r="I88" s="6">
        <v>45673</v>
      </c>
      <c r="J88" s="4">
        <f>I88-G88</f>
        <v>58</v>
      </c>
      <c r="K88" s="4">
        <v>54</v>
      </c>
      <c r="L88" s="4">
        <v>67</v>
      </c>
      <c r="M88" s="4">
        <v>62</v>
      </c>
      <c r="N88" s="4">
        <v>62</v>
      </c>
      <c r="O88" s="4">
        <v>56</v>
      </c>
      <c r="P88" s="5">
        <f>AVERAGE(K88:O88)</f>
        <v>60.2</v>
      </c>
      <c r="Q88" s="8">
        <v>45729</v>
      </c>
      <c r="R88" s="4">
        <v>15</v>
      </c>
      <c r="S88" s="4">
        <v>9</v>
      </c>
      <c r="T88" s="4">
        <v>17</v>
      </c>
      <c r="U88" s="4">
        <v>6</v>
      </c>
      <c r="V88" s="4">
        <v>18</v>
      </c>
      <c r="W88" s="5">
        <f>AVERAGE(R88:V88)</f>
        <v>13</v>
      </c>
      <c r="X88" s="4">
        <v>100</v>
      </c>
      <c r="Y88" s="9">
        <v>94</v>
      </c>
      <c r="Z88" s="9">
        <v>73</v>
      </c>
      <c r="AA88" s="9">
        <v>91</v>
      </c>
      <c r="AB88" s="9">
        <v>76</v>
      </c>
      <c r="AC88" s="5">
        <f>AVERAGE(X88:AB88)</f>
        <v>86.8</v>
      </c>
      <c r="AD88" s="17" t="s">
        <v>106</v>
      </c>
      <c r="AE88" s="6">
        <v>45740</v>
      </c>
      <c r="AF88" s="4">
        <f>AE88-G88</f>
        <v>125</v>
      </c>
      <c r="AG88" s="4">
        <v>2</v>
      </c>
      <c r="AH88" s="4">
        <v>3</v>
      </c>
      <c r="AI88" s="11">
        <v>0.89200000000000002</v>
      </c>
      <c r="AJ88" s="12">
        <v>8.6999999999999993</v>
      </c>
      <c r="AK88" s="13">
        <f>(AI88*((100-AJ88)/(100-13)))</f>
        <v>0.93608735632183915</v>
      </c>
      <c r="AL88" s="13">
        <f>(AI88*((100-AJ88)/(100-13))/5)*10000</f>
        <v>1872.1747126436783</v>
      </c>
      <c r="AM88" s="14">
        <f>AL88/1000</f>
        <v>1.8721747126436783</v>
      </c>
      <c r="AN88" s="13">
        <v>8.7100000000000009</v>
      </c>
      <c r="AO88" s="13">
        <f>(AN88*((100-AJ88)/(100-13)))</f>
        <v>9.1404942528735642</v>
      </c>
      <c r="AP88" s="15">
        <v>0.624</v>
      </c>
      <c r="AQ88" s="13">
        <f>(AP88*((100-AJ88)/(100-13))/5)*10000</f>
        <v>1309.68275862069</v>
      </c>
      <c r="AR88" s="16">
        <f>((1-(AL88-AQ88)/AL88))</f>
        <v>0.6995515695067267</v>
      </c>
    </row>
    <row r="89" spans="1:44" ht="15.6" x14ac:dyDescent="0.3">
      <c r="A89" s="4">
        <v>13</v>
      </c>
      <c r="B89" s="4">
        <v>6</v>
      </c>
      <c r="C89" s="5">
        <v>88</v>
      </c>
      <c r="D89" s="4">
        <v>3</v>
      </c>
      <c r="E89" s="22" t="s">
        <v>87</v>
      </c>
      <c r="F89" s="4" t="s">
        <v>48</v>
      </c>
      <c r="G89" s="6">
        <v>45615</v>
      </c>
      <c r="H89" s="4" t="s">
        <v>103</v>
      </c>
      <c r="I89" s="6">
        <v>45675</v>
      </c>
      <c r="J89" s="4">
        <f>I89-G89</f>
        <v>60</v>
      </c>
      <c r="K89" s="4">
        <v>45</v>
      </c>
      <c r="L89" s="4">
        <v>41</v>
      </c>
      <c r="M89" s="4">
        <v>43</v>
      </c>
      <c r="N89" s="4">
        <v>44</v>
      </c>
      <c r="O89" s="4">
        <v>38</v>
      </c>
      <c r="P89" s="5">
        <f>AVERAGE(K89:O89)</f>
        <v>42.2</v>
      </c>
      <c r="Q89" s="8">
        <v>45729</v>
      </c>
      <c r="R89" s="4"/>
      <c r="S89" s="4"/>
      <c r="T89" s="4">
        <v>14</v>
      </c>
      <c r="U89" s="4"/>
      <c r="V89" s="4">
        <v>14</v>
      </c>
      <c r="W89" s="5">
        <f>AVERAGE(R89:V89)</f>
        <v>14</v>
      </c>
      <c r="X89" s="4">
        <v>62</v>
      </c>
      <c r="Y89" s="9"/>
      <c r="Z89" s="9"/>
      <c r="AA89" s="9">
        <v>65</v>
      </c>
      <c r="AB89" s="9">
        <v>60</v>
      </c>
      <c r="AC89" s="18">
        <f>AVERAGE(X89:AB89)</f>
        <v>62.333333333333336</v>
      </c>
      <c r="AD89" s="17" t="s">
        <v>106</v>
      </c>
      <c r="AE89" s="6">
        <v>45734</v>
      </c>
      <c r="AF89" s="4">
        <f>AE89-G89</f>
        <v>119</v>
      </c>
      <c r="AG89" s="4">
        <v>2</v>
      </c>
      <c r="AH89" s="4">
        <v>3</v>
      </c>
      <c r="AI89" s="11">
        <v>1.026</v>
      </c>
      <c r="AJ89" s="12">
        <v>8.9</v>
      </c>
      <c r="AK89" s="13">
        <f>(AI89*((100-AJ89)/(100-13)))</f>
        <v>1.074351724137931</v>
      </c>
      <c r="AL89" s="13">
        <f>(AI89*((100-AJ89)/(100-13))/5)*10000</f>
        <v>2148.7034482758622</v>
      </c>
      <c r="AM89" s="14">
        <f>AL89/1000</f>
        <v>2.148703448275862</v>
      </c>
      <c r="AN89" s="13">
        <v>6.02</v>
      </c>
      <c r="AO89" s="13">
        <f>(AN89*((100-AJ89)/(100-13)))</f>
        <v>6.3037011494252866</v>
      </c>
      <c r="AP89" s="15">
        <v>0.88</v>
      </c>
      <c r="AQ89" s="13">
        <f>(AP89*((100-AJ89)/(100-13))/5)*10000</f>
        <v>1842.9425287356321</v>
      </c>
      <c r="AR89" s="16">
        <f>((1-(AL89-AQ89)/AL89))</f>
        <v>0.85769980506822607</v>
      </c>
    </row>
    <row r="90" spans="1:44" ht="15.6" x14ac:dyDescent="0.3">
      <c r="A90" s="4">
        <v>14</v>
      </c>
      <c r="B90" s="4">
        <v>6</v>
      </c>
      <c r="C90" s="5">
        <v>89</v>
      </c>
      <c r="D90" s="4">
        <v>3</v>
      </c>
      <c r="E90" s="22" t="s">
        <v>92</v>
      </c>
      <c r="F90" s="4" t="s">
        <v>39</v>
      </c>
      <c r="G90" s="6">
        <v>45615</v>
      </c>
      <c r="H90" s="4" t="s">
        <v>103</v>
      </c>
      <c r="I90" s="6">
        <v>45676</v>
      </c>
      <c r="J90" s="4">
        <f>I90-G90</f>
        <v>61</v>
      </c>
      <c r="K90" s="4">
        <v>73</v>
      </c>
      <c r="L90" s="4">
        <v>65</v>
      </c>
      <c r="M90" s="4">
        <v>74</v>
      </c>
      <c r="N90" s="4">
        <v>62</v>
      </c>
      <c r="O90" s="4">
        <v>57</v>
      </c>
      <c r="P90" s="5">
        <f>AVERAGE(K90:O90)</f>
        <v>66.2</v>
      </c>
      <c r="Q90" s="4"/>
      <c r="R90" s="4">
        <v>12</v>
      </c>
      <c r="S90" s="4">
        <v>7</v>
      </c>
      <c r="T90" s="4">
        <v>12</v>
      </c>
      <c r="U90" s="4">
        <v>6</v>
      </c>
      <c r="V90" s="4">
        <v>9</v>
      </c>
      <c r="W90" s="5">
        <f>AVERAGE(R90:V90)</f>
        <v>9.1999999999999993</v>
      </c>
      <c r="X90" s="4">
        <v>71</v>
      </c>
      <c r="Y90" s="9">
        <v>84</v>
      </c>
      <c r="Z90" s="9">
        <v>108</v>
      </c>
      <c r="AA90" s="9">
        <v>73</v>
      </c>
      <c r="AB90" s="9">
        <v>68</v>
      </c>
      <c r="AC90" s="5">
        <f>AVERAGE(X90:AB90)</f>
        <v>80.8</v>
      </c>
      <c r="AD90" s="17" t="s">
        <v>106</v>
      </c>
      <c r="AE90" s="6">
        <v>45740</v>
      </c>
      <c r="AF90" s="4">
        <f>AE90-G90</f>
        <v>125</v>
      </c>
      <c r="AG90" s="4">
        <v>2</v>
      </c>
      <c r="AH90" s="4">
        <v>2</v>
      </c>
      <c r="AI90" s="11">
        <v>1.002</v>
      </c>
      <c r="AJ90" s="12">
        <v>8.6999999999999993</v>
      </c>
      <c r="AK90" s="13">
        <f>(AI90*((100-AJ90)/(100-13)))</f>
        <v>1.0515241379310345</v>
      </c>
      <c r="AL90" s="13">
        <f>(AI90*((100-AJ90)/(100-13))/5)*10000</f>
        <v>2103.0482758620687</v>
      </c>
      <c r="AM90" s="14">
        <f>AL90/1000</f>
        <v>2.1030482758620686</v>
      </c>
      <c r="AN90" s="13">
        <v>8.25</v>
      </c>
      <c r="AO90" s="13">
        <f>(AN90*((100-AJ90)/(100-13)))</f>
        <v>8.6577586206896555</v>
      </c>
      <c r="AP90" s="15">
        <v>0.70799999999999996</v>
      </c>
      <c r="AQ90" s="13">
        <f>(AP90*((100-AJ90)/(100-13))/5)*10000</f>
        <v>1485.9862068965517</v>
      </c>
      <c r="AR90" s="16">
        <f>((1-(AL90-AQ90)/AL90))</f>
        <v>0.70658682634730541</v>
      </c>
    </row>
    <row r="91" spans="1:44" ht="15.6" x14ac:dyDescent="0.3">
      <c r="A91" s="4">
        <v>15</v>
      </c>
      <c r="B91" s="4">
        <v>6</v>
      </c>
      <c r="C91" s="5">
        <v>90</v>
      </c>
      <c r="D91" s="4">
        <v>3</v>
      </c>
      <c r="E91" s="22" t="s">
        <v>78</v>
      </c>
      <c r="F91" s="4" t="s">
        <v>35</v>
      </c>
      <c r="G91" s="6">
        <v>45615</v>
      </c>
      <c r="H91" s="4" t="s">
        <v>103</v>
      </c>
      <c r="I91" s="6">
        <v>45665</v>
      </c>
      <c r="J91" s="4">
        <f>I91-G91</f>
        <v>50</v>
      </c>
      <c r="K91" s="4">
        <v>32</v>
      </c>
      <c r="L91" s="4">
        <v>35</v>
      </c>
      <c r="M91" s="4">
        <v>36</v>
      </c>
      <c r="N91" s="4">
        <v>30</v>
      </c>
      <c r="O91" s="4">
        <v>33</v>
      </c>
      <c r="P91" s="5">
        <f>AVERAGE(K91:O91)</f>
        <v>33.200000000000003</v>
      </c>
      <c r="Q91" s="8">
        <v>45721</v>
      </c>
      <c r="R91" s="4">
        <v>12</v>
      </c>
      <c r="S91" s="4">
        <v>15</v>
      </c>
      <c r="T91" s="4">
        <v>14</v>
      </c>
      <c r="U91" s="4">
        <v>12</v>
      </c>
      <c r="V91" s="4">
        <v>12</v>
      </c>
      <c r="W91" s="5">
        <f>AVERAGE(R91:V91)</f>
        <v>13</v>
      </c>
      <c r="X91" s="4">
        <v>95</v>
      </c>
      <c r="Y91" s="9">
        <v>88</v>
      </c>
      <c r="Z91" s="9">
        <v>87</v>
      </c>
      <c r="AA91" s="9">
        <v>85</v>
      </c>
      <c r="AB91" s="9">
        <v>76</v>
      </c>
      <c r="AC91" s="5">
        <f>AVERAGE(X91:AB91)</f>
        <v>86.2</v>
      </c>
      <c r="AD91" s="10" t="s">
        <v>105</v>
      </c>
      <c r="AE91" s="6">
        <v>45730</v>
      </c>
      <c r="AF91" s="4">
        <f>AE91-G91</f>
        <v>115</v>
      </c>
      <c r="AG91" s="4">
        <v>2</v>
      </c>
      <c r="AH91" s="4">
        <v>4</v>
      </c>
      <c r="AI91" s="11">
        <v>1.262</v>
      </c>
      <c r="AJ91" s="12">
        <v>8.6</v>
      </c>
      <c r="AK91" s="13">
        <f>(AI91*((100-AJ91)/(100-13)))</f>
        <v>1.3258252873563219</v>
      </c>
      <c r="AL91" s="13">
        <f>(AI91*((100-AJ91)/(100-13))/5)*10000</f>
        <v>2651.6505747126439</v>
      </c>
      <c r="AM91" s="14">
        <f>AL91/1000</f>
        <v>2.6516505747126438</v>
      </c>
      <c r="AN91" s="13">
        <v>12.19</v>
      </c>
      <c r="AO91" s="13">
        <f>(AN91*((100-AJ91)/(100-13)))</f>
        <v>12.806505747126437</v>
      </c>
      <c r="AP91" s="15">
        <v>1.0780000000000001</v>
      </c>
      <c r="AQ91" s="13">
        <f>(AP91*((100-AJ91)/(100-13))/5)*10000</f>
        <v>2265.0390804597705</v>
      </c>
      <c r="AR91" s="16">
        <f>((1-(AL91-AQ91)/AL91))</f>
        <v>0.85419968304278926</v>
      </c>
    </row>
    <row r="92" spans="1:44" ht="15.6" x14ac:dyDescent="0.3">
      <c r="A92" s="19"/>
      <c r="B92" s="19"/>
      <c r="C92" s="20"/>
      <c r="D92" s="19"/>
      <c r="E92" s="20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20"/>
      <c r="Q92" s="19"/>
      <c r="R92" s="19"/>
      <c r="S92" s="19"/>
      <c r="T92" s="19"/>
      <c r="U92" s="19"/>
      <c r="V92" s="19"/>
      <c r="W92" s="20"/>
      <c r="X92" s="19"/>
      <c r="Y92" s="21"/>
      <c r="Z92" s="21"/>
      <c r="AA92" s="21"/>
      <c r="AB92" s="21"/>
      <c r="AC92" s="20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</row>
    <row r="93" spans="1:44" ht="15.6" x14ac:dyDescent="0.3">
      <c r="A93" s="19"/>
      <c r="B93" s="19"/>
      <c r="C93" s="20"/>
      <c r="D93" s="19"/>
      <c r="E93" s="20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20"/>
      <c r="Q93" s="19"/>
      <c r="R93" s="19"/>
      <c r="S93" s="19"/>
      <c r="T93" s="19"/>
      <c r="U93" s="19"/>
      <c r="V93" s="19"/>
      <c r="W93" s="20"/>
      <c r="X93" s="19"/>
      <c r="Y93" s="21"/>
      <c r="Z93" s="21"/>
      <c r="AA93" s="21"/>
      <c r="AB93" s="21"/>
      <c r="AC93" s="20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</row>
    <row r="94" spans="1:44" ht="15.6" x14ac:dyDescent="0.3">
      <c r="A94" s="19"/>
      <c r="B94" s="19"/>
      <c r="C94" s="20"/>
      <c r="D94" s="19"/>
      <c r="E94" s="20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20"/>
      <c r="Q94" s="19"/>
      <c r="R94" s="19"/>
      <c r="S94" s="19"/>
      <c r="T94" s="19"/>
      <c r="U94" s="19"/>
      <c r="V94" s="19"/>
      <c r="W94" s="20"/>
      <c r="X94" s="19"/>
      <c r="Y94" s="21"/>
      <c r="Z94" s="21"/>
      <c r="AA94" s="21"/>
      <c r="AB94" s="21"/>
      <c r="AC94" s="20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</row>
    <row r="95" spans="1:44" ht="15.6" x14ac:dyDescent="0.3">
      <c r="A95" s="19"/>
      <c r="B95" s="19"/>
      <c r="C95" s="20"/>
      <c r="D95" s="19"/>
      <c r="E95" s="20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20"/>
      <c r="Q95" s="19"/>
      <c r="R95" s="19"/>
      <c r="S95" s="19"/>
      <c r="T95" s="19"/>
      <c r="U95" s="19"/>
      <c r="V95" s="19"/>
      <c r="W95" s="20"/>
      <c r="X95" s="19"/>
      <c r="Y95" s="21"/>
      <c r="Z95" s="21"/>
      <c r="AA95" s="21"/>
      <c r="AB95" s="21"/>
      <c r="AC95" s="20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</row>
    <row r="96" spans="1:44" ht="15.6" x14ac:dyDescent="0.3">
      <c r="A96" s="19"/>
      <c r="B96" s="19"/>
      <c r="C96" s="20"/>
      <c r="D96" s="19"/>
      <c r="E96" s="20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20"/>
      <c r="Q96" s="19"/>
      <c r="R96" s="19"/>
      <c r="S96" s="19"/>
      <c r="T96" s="19"/>
      <c r="U96" s="19"/>
      <c r="V96" s="19"/>
      <c r="W96" s="20"/>
      <c r="X96" s="19"/>
      <c r="Y96" s="21"/>
      <c r="Z96" s="21"/>
      <c r="AA96" s="21"/>
      <c r="AB96" s="21"/>
      <c r="AC96" s="20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</row>
    <row r="97" spans="1:44" ht="15.6" x14ac:dyDescent="0.3">
      <c r="A97" s="19"/>
      <c r="B97" s="19"/>
      <c r="C97" s="20"/>
      <c r="D97" s="19"/>
      <c r="E97" s="20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20"/>
      <c r="Q97" s="19"/>
      <c r="R97" s="19"/>
      <c r="S97" s="19"/>
      <c r="T97" s="19"/>
      <c r="U97" s="19"/>
      <c r="V97" s="19"/>
      <c r="W97" s="20"/>
      <c r="X97" s="19"/>
      <c r="Y97" s="21"/>
      <c r="Z97" s="21"/>
      <c r="AA97" s="21"/>
      <c r="AB97" s="21"/>
      <c r="AC97" s="20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</row>
    <row r="98" spans="1:44" ht="15.6" x14ac:dyDescent="0.3">
      <c r="A98" s="19"/>
      <c r="B98" s="19"/>
      <c r="C98" s="20"/>
      <c r="D98" s="19"/>
      <c r="E98" s="20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20"/>
      <c r="Q98" s="19"/>
      <c r="R98" s="19"/>
      <c r="S98" s="19"/>
      <c r="T98" s="19"/>
      <c r="U98" s="19"/>
      <c r="V98" s="19"/>
      <c r="W98" s="20"/>
      <c r="X98" s="19"/>
      <c r="Y98" s="21"/>
      <c r="Z98" s="21"/>
      <c r="AA98" s="21"/>
      <c r="AB98" s="21"/>
      <c r="AC98" s="20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</row>
    <row r="99" spans="1:44" ht="15.6" x14ac:dyDescent="0.3">
      <c r="A99" s="19"/>
      <c r="B99" s="19"/>
      <c r="C99" s="20"/>
      <c r="D99" s="19"/>
      <c r="E99" s="20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20"/>
      <c r="Q99" s="19"/>
      <c r="R99" s="19"/>
      <c r="S99" s="19"/>
      <c r="T99" s="19"/>
      <c r="U99" s="19"/>
      <c r="V99" s="19"/>
      <c r="W99" s="20"/>
      <c r="X99" s="19"/>
      <c r="Y99" s="21"/>
      <c r="Z99" s="21"/>
      <c r="AA99" s="21"/>
      <c r="AB99" s="21"/>
      <c r="AC99" s="20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</row>
    <row r="100" spans="1:44" ht="15.6" x14ac:dyDescent="0.3">
      <c r="A100" s="19"/>
      <c r="B100" s="19"/>
      <c r="C100" s="20"/>
      <c r="D100" s="19"/>
      <c r="E100" s="20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20"/>
      <c r="Q100" s="19"/>
      <c r="R100" s="19"/>
      <c r="S100" s="19"/>
      <c r="T100" s="19"/>
      <c r="U100" s="19"/>
      <c r="V100" s="19"/>
      <c r="W100" s="20"/>
      <c r="X100" s="19"/>
      <c r="Y100" s="21"/>
      <c r="Z100" s="21"/>
      <c r="AA100" s="21"/>
      <c r="AB100" s="21"/>
      <c r="AC100" s="20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</row>
    <row r="101" spans="1:44" ht="15.6" x14ac:dyDescent="0.3">
      <c r="A101" s="19"/>
      <c r="B101" s="19"/>
      <c r="C101" s="20"/>
      <c r="D101" s="19"/>
      <c r="E101" s="20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20"/>
      <c r="Q101" s="19"/>
      <c r="R101" s="19"/>
      <c r="S101" s="19"/>
      <c r="T101" s="19"/>
      <c r="U101" s="19"/>
      <c r="V101" s="19"/>
      <c r="W101" s="20"/>
      <c r="X101" s="19"/>
      <c r="Y101" s="21"/>
      <c r="Z101" s="21"/>
      <c r="AA101" s="21"/>
      <c r="AB101" s="21"/>
      <c r="AC101" s="20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</row>
    <row r="102" spans="1:44" ht="15.6" x14ac:dyDescent="0.3">
      <c r="A102" s="19"/>
      <c r="B102" s="19"/>
      <c r="C102" s="20"/>
      <c r="D102" s="19"/>
      <c r="E102" s="20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20"/>
      <c r="Q102" s="19"/>
      <c r="R102" s="19"/>
      <c r="S102" s="19"/>
      <c r="T102" s="19"/>
      <c r="U102" s="19"/>
      <c r="V102" s="19"/>
      <c r="W102" s="20"/>
      <c r="X102" s="19"/>
      <c r="Y102" s="21"/>
      <c r="Z102" s="21"/>
      <c r="AA102" s="21"/>
      <c r="AB102" s="21"/>
      <c r="AC102" s="20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</row>
    <row r="103" spans="1:44" ht="15.6" x14ac:dyDescent="0.3">
      <c r="A103" s="19"/>
      <c r="B103" s="19"/>
      <c r="C103" s="20"/>
      <c r="D103" s="19"/>
      <c r="E103" s="20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20"/>
      <c r="Q103" s="19"/>
      <c r="R103" s="19"/>
      <c r="S103" s="19"/>
      <c r="T103" s="19"/>
      <c r="U103" s="19"/>
      <c r="V103" s="19"/>
      <c r="W103" s="20"/>
      <c r="X103" s="19"/>
      <c r="Y103" s="21"/>
      <c r="Z103" s="21"/>
      <c r="AA103" s="21"/>
      <c r="AB103" s="21"/>
      <c r="AC103" s="20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</row>
    <row r="104" spans="1:44" ht="15.6" x14ac:dyDescent="0.3">
      <c r="A104" s="19"/>
      <c r="B104" s="19"/>
      <c r="C104" s="20"/>
      <c r="D104" s="19"/>
      <c r="E104" s="20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20"/>
      <c r="Q104" s="19"/>
      <c r="R104" s="19"/>
      <c r="S104" s="19"/>
      <c r="T104" s="19"/>
      <c r="U104" s="19"/>
      <c r="V104" s="19"/>
      <c r="W104" s="20"/>
      <c r="X104" s="19"/>
      <c r="Y104" s="21"/>
      <c r="Z104" s="21"/>
      <c r="AA104" s="21"/>
      <c r="AB104" s="21"/>
      <c r="AC104" s="20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</row>
    <row r="105" spans="1:44" ht="15.6" x14ac:dyDescent="0.3">
      <c r="A105" s="19"/>
      <c r="B105" s="19"/>
      <c r="C105" s="20"/>
      <c r="D105" s="19"/>
      <c r="E105" s="20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20"/>
      <c r="Q105" s="19"/>
      <c r="R105" s="19"/>
      <c r="S105" s="19"/>
      <c r="T105" s="19"/>
      <c r="U105" s="19"/>
      <c r="V105" s="19"/>
      <c r="W105" s="20"/>
      <c r="X105" s="19"/>
      <c r="Y105" s="21"/>
      <c r="Z105" s="21"/>
      <c r="AA105" s="21"/>
      <c r="AB105" s="21"/>
      <c r="AC105" s="20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</row>
    <row r="106" spans="1:44" ht="15.6" x14ac:dyDescent="0.3">
      <c r="A106" s="19"/>
      <c r="B106" s="19"/>
      <c r="C106" s="20"/>
      <c r="D106" s="19"/>
      <c r="E106" s="20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20"/>
      <c r="Q106" s="19"/>
      <c r="R106" s="19"/>
      <c r="S106" s="19"/>
      <c r="T106" s="19"/>
      <c r="U106" s="19"/>
      <c r="V106" s="19"/>
      <c r="W106" s="20"/>
      <c r="X106" s="19"/>
      <c r="Y106" s="21"/>
      <c r="Z106" s="21"/>
      <c r="AA106" s="21"/>
      <c r="AB106" s="21"/>
      <c r="AC106" s="20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</row>
    <row r="107" spans="1:44" ht="15.6" x14ac:dyDescent="0.3">
      <c r="A107" s="19"/>
      <c r="B107" s="19"/>
      <c r="C107" s="20"/>
      <c r="D107" s="19"/>
      <c r="E107" s="20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20"/>
      <c r="Q107" s="19"/>
      <c r="R107" s="19"/>
      <c r="S107" s="19"/>
      <c r="T107" s="19"/>
      <c r="U107" s="19"/>
      <c r="V107" s="19"/>
      <c r="W107" s="20"/>
      <c r="X107" s="19"/>
      <c r="Y107" s="21"/>
      <c r="Z107" s="21"/>
      <c r="AA107" s="21"/>
      <c r="AB107" s="21"/>
      <c r="AC107" s="20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</row>
    <row r="108" spans="1:44" ht="15.6" x14ac:dyDescent="0.3">
      <c r="A108" s="19"/>
      <c r="B108" s="19"/>
      <c r="C108" s="20"/>
      <c r="D108" s="19"/>
      <c r="E108" s="2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20"/>
      <c r="Q108" s="19"/>
      <c r="R108" s="19"/>
      <c r="S108" s="19"/>
      <c r="T108" s="19"/>
      <c r="U108" s="19"/>
      <c r="V108" s="19"/>
      <c r="W108" s="20"/>
      <c r="X108" s="19"/>
      <c r="Y108" s="21"/>
      <c r="Z108" s="21"/>
      <c r="AA108" s="21"/>
      <c r="AB108" s="21"/>
      <c r="AC108" s="20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</row>
    <row r="109" spans="1:44" ht="15.6" x14ac:dyDescent="0.3">
      <c r="A109" s="19"/>
      <c r="B109" s="19"/>
      <c r="C109" s="20"/>
      <c r="D109" s="19"/>
      <c r="E109" s="2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20"/>
      <c r="Q109" s="19"/>
      <c r="R109" s="19"/>
      <c r="S109" s="19"/>
      <c r="T109" s="19"/>
      <c r="U109" s="19"/>
      <c r="V109" s="19"/>
      <c r="W109" s="20"/>
      <c r="X109" s="19"/>
      <c r="Y109" s="21"/>
      <c r="Z109" s="21"/>
      <c r="AA109" s="21"/>
      <c r="AB109" s="21"/>
      <c r="AC109" s="20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</row>
    <row r="110" spans="1:44" ht="15.6" x14ac:dyDescent="0.3">
      <c r="A110" s="19"/>
      <c r="B110" s="19"/>
      <c r="C110" s="20"/>
      <c r="D110" s="19"/>
      <c r="E110" s="2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20"/>
      <c r="Q110" s="19"/>
      <c r="R110" s="19"/>
      <c r="S110" s="19"/>
      <c r="T110" s="19"/>
      <c r="U110" s="19"/>
      <c r="V110" s="19"/>
      <c r="W110" s="20"/>
      <c r="X110" s="19"/>
      <c r="Y110" s="21"/>
      <c r="Z110" s="21"/>
      <c r="AA110" s="21"/>
      <c r="AB110" s="21"/>
      <c r="AC110" s="20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</row>
    <row r="111" spans="1:44" ht="15.6" x14ac:dyDescent="0.3">
      <c r="A111" s="19"/>
      <c r="B111" s="19"/>
      <c r="C111" s="20"/>
      <c r="D111" s="19"/>
      <c r="E111" s="2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20"/>
      <c r="Q111" s="19"/>
      <c r="R111" s="19"/>
      <c r="S111" s="19"/>
      <c r="T111" s="19"/>
      <c r="U111" s="19"/>
      <c r="V111" s="19"/>
      <c r="W111" s="20"/>
      <c r="X111" s="19"/>
      <c r="Y111" s="21"/>
      <c r="Z111" s="21"/>
      <c r="AA111" s="21"/>
      <c r="AB111" s="21"/>
      <c r="AC111" s="20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</row>
    <row r="112" spans="1:44" ht="15.6" x14ac:dyDescent="0.3">
      <c r="A112" s="19"/>
      <c r="B112" s="19"/>
      <c r="C112" s="20"/>
      <c r="D112" s="19"/>
      <c r="E112" s="2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20"/>
      <c r="Q112" s="19"/>
      <c r="R112" s="19"/>
      <c r="S112" s="19"/>
      <c r="T112" s="19"/>
      <c r="U112" s="19"/>
      <c r="V112" s="19"/>
      <c r="W112" s="20"/>
      <c r="X112" s="19"/>
      <c r="Y112" s="21"/>
      <c r="Z112" s="21"/>
      <c r="AA112" s="21"/>
      <c r="AB112" s="21"/>
      <c r="AC112" s="20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</row>
    <row r="113" spans="1:44" ht="15.6" x14ac:dyDescent="0.3">
      <c r="A113" s="19"/>
      <c r="B113" s="19"/>
      <c r="C113" s="20"/>
      <c r="D113" s="19"/>
      <c r="E113" s="2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20"/>
      <c r="Q113" s="19"/>
      <c r="R113" s="19"/>
      <c r="S113" s="19"/>
      <c r="T113" s="19"/>
      <c r="U113" s="19"/>
      <c r="V113" s="19"/>
      <c r="W113" s="20"/>
      <c r="X113" s="19"/>
      <c r="Y113" s="21"/>
      <c r="Z113" s="21"/>
      <c r="AA113" s="21"/>
      <c r="AB113" s="21"/>
      <c r="AC113" s="20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</row>
    <row r="114" spans="1:44" ht="15.6" x14ac:dyDescent="0.3">
      <c r="A114" s="19"/>
      <c r="B114" s="19"/>
      <c r="C114" s="20"/>
      <c r="D114" s="19"/>
      <c r="E114" s="2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20"/>
      <c r="Q114" s="19"/>
      <c r="R114" s="19"/>
      <c r="S114" s="19"/>
      <c r="T114" s="19"/>
      <c r="U114" s="19"/>
      <c r="V114" s="19"/>
      <c r="W114" s="20"/>
      <c r="X114" s="19"/>
      <c r="Y114" s="21"/>
      <c r="Z114" s="21"/>
      <c r="AA114" s="21"/>
      <c r="AB114" s="21"/>
      <c r="AC114" s="20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</row>
    <row r="115" spans="1:44" ht="15.6" x14ac:dyDescent="0.3">
      <c r="A115" s="19"/>
      <c r="B115" s="19"/>
      <c r="C115" s="20"/>
      <c r="D115" s="19"/>
      <c r="E115" s="20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20"/>
      <c r="Q115" s="19"/>
      <c r="R115" s="19"/>
      <c r="S115" s="19"/>
      <c r="T115" s="19"/>
      <c r="U115" s="19"/>
      <c r="V115" s="19"/>
      <c r="W115" s="20"/>
      <c r="X115" s="19"/>
      <c r="Y115" s="21"/>
      <c r="Z115" s="21"/>
      <c r="AA115" s="21"/>
      <c r="AB115" s="21"/>
      <c r="AC115" s="20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</row>
    <row r="116" spans="1:44" ht="15.6" x14ac:dyDescent="0.3">
      <c r="A116" s="19"/>
      <c r="B116" s="19"/>
      <c r="C116" s="20"/>
      <c r="D116" s="19"/>
      <c r="E116" s="20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20"/>
      <c r="Q116" s="19"/>
      <c r="R116" s="19"/>
      <c r="S116" s="19"/>
      <c r="T116" s="19"/>
      <c r="U116" s="19"/>
      <c r="V116" s="19"/>
      <c r="W116" s="20"/>
      <c r="X116" s="19"/>
      <c r="Y116" s="21"/>
      <c r="Z116" s="21"/>
      <c r="AA116" s="21"/>
      <c r="AB116" s="21"/>
      <c r="AC116" s="20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</row>
    <row r="117" spans="1:44" ht="15.6" x14ac:dyDescent="0.3">
      <c r="A117" s="19"/>
      <c r="B117" s="19"/>
      <c r="C117" s="20"/>
      <c r="D117" s="19"/>
      <c r="E117" s="20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20"/>
      <c r="Q117" s="19"/>
      <c r="R117" s="19"/>
      <c r="S117" s="19"/>
      <c r="T117" s="19"/>
      <c r="U117" s="19"/>
      <c r="V117" s="19"/>
      <c r="W117" s="20"/>
      <c r="X117" s="19"/>
      <c r="Y117" s="21"/>
      <c r="Z117" s="21"/>
      <c r="AA117" s="21"/>
      <c r="AB117" s="21"/>
      <c r="AC117" s="20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</row>
    <row r="118" spans="1:44" ht="15.6" x14ac:dyDescent="0.3">
      <c r="A118" s="19"/>
      <c r="B118" s="19"/>
      <c r="C118" s="20"/>
      <c r="D118" s="19"/>
      <c r="E118" s="20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20"/>
      <c r="Q118" s="19"/>
      <c r="R118" s="19"/>
      <c r="S118" s="19"/>
      <c r="T118" s="19"/>
      <c r="U118" s="19"/>
      <c r="V118" s="19"/>
      <c r="W118" s="20"/>
      <c r="X118" s="19"/>
      <c r="Y118" s="21"/>
      <c r="Z118" s="21"/>
      <c r="AA118" s="21"/>
      <c r="AB118" s="21"/>
      <c r="AC118" s="20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</row>
    <row r="119" spans="1:44" ht="15.6" x14ac:dyDescent="0.3">
      <c r="A119" s="19"/>
      <c r="B119" s="19"/>
      <c r="C119" s="20"/>
      <c r="D119" s="19"/>
      <c r="E119" s="20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20"/>
      <c r="Q119" s="19"/>
      <c r="R119" s="19"/>
      <c r="S119" s="19"/>
      <c r="T119" s="19"/>
      <c r="U119" s="19"/>
      <c r="V119" s="19"/>
      <c r="W119" s="20"/>
      <c r="X119" s="19"/>
      <c r="Y119" s="21"/>
      <c r="Z119" s="21"/>
      <c r="AA119" s="21"/>
      <c r="AB119" s="21"/>
      <c r="AC119" s="20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</row>
    <row r="120" spans="1:44" ht="15.6" x14ac:dyDescent="0.3">
      <c r="A120" s="19"/>
      <c r="B120" s="19"/>
      <c r="C120" s="20"/>
      <c r="D120" s="19"/>
      <c r="E120" s="20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20"/>
      <c r="Q120" s="19"/>
      <c r="R120" s="19"/>
      <c r="S120" s="19"/>
      <c r="T120" s="19"/>
      <c r="U120" s="19"/>
      <c r="V120" s="19"/>
      <c r="W120" s="20"/>
      <c r="X120" s="19"/>
      <c r="Y120" s="21"/>
      <c r="Z120" s="21"/>
      <c r="AA120" s="21"/>
      <c r="AB120" s="21"/>
      <c r="AC120" s="20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</row>
    <row r="121" spans="1:44" ht="15.6" x14ac:dyDescent="0.3">
      <c r="A121" s="19"/>
      <c r="B121" s="19"/>
      <c r="C121" s="20"/>
      <c r="D121" s="19"/>
      <c r="E121" s="2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20"/>
      <c r="Q121" s="19"/>
      <c r="R121" s="19"/>
      <c r="S121" s="19"/>
      <c r="T121" s="19"/>
      <c r="U121" s="19"/>
      <c r="V121" s="19"/>
      <c r="W121" s="20"/>
      <c r="X121" s="19"/>
      <c r="Y121" s="21"/>
      <c r="Z121" s="21"/>
      <c r="AA121" s="21"/>
      <c r="AB121" s="21"/>
      <c r="AC121" s="20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</row>
    <row r="122" spans="1:44" ht="15.6" x14ac:dyDescent="0.3">
      <c r="A122" s="19"/>
      <c r="B122" s="19"/>
      <c r="C122" s="20"/>
      <c r="D122" s="19"/>
      <c r="E122" s="2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20"/>
      <c r="Q122" s="19"/>
      <c r="R122" s="19"/>
      <c r="S122" s="19"/>
      <c r="T122" s="19"/>
      <c r="U122" s="19"/>
      <c r="V122" s="19"/>
      <c r="W122" s="20"/>
      <c r="X122" s="19"/>
      <c r="Y122" s="21"/>
      <c r="Z122" s="21"/>
      <c r="AA122" s="21"/>
      <c r="AB122" s="21"/>
      <c r="AC122" s="20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</row>
    <row r="123" spans="1:44" ht="15.6" x14ac:dyDescent="0.3">
      <c r="A123" s="19"/>
      <c r="B123" s="19"/>
      <c r="C123" s="20"/>
      <c r="D123" s="19"/>
      <c r="E123" s="20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20"/>
      <c r="Q123" s="19"/>
      <c r="R123" s="19"/>
      <c r="S123" s="19"/>
      <c r="T123" s="19"/>
      <c r="U123" s="19"/>
      <c r="V123" s="19"/>
      <c r="W123" s="20"/>
      <c r="X123" s="19"/>
      <c r="Y123" s="21"/>
      <c r="Z123" s="21"/>
      <c r="AA123" s="21"/>
      <c r="AB123" s="21"/>
      <c r="AC123" s="20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</row>
    <row r="124" spans="1:44" ht="15.6" x14ac:dyDescent="0.3">
      <c r="A124" s="19"/>
      <c r="B124" s="19"/>
      <c r="C124" s="20"/>
      <c r="D124" s="19"/>
      <c r="E124" s="20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20"/>
      <c r="Q124" s="19"/>
      <c r="R124" s="19"/>
      <c r="S124" s="19"/>
      <c r="T124" s="19"/>
      <c r="U124" s="19"/>
      <c r="V124" s="19"/>
      <c r="W124" s="20"/>
      <c r="X124" s="19"/>
      <c r="Y124" s="21"/>
      <c r="Z124" s="21"/>
      <c r="AA124" s="21"/>
      <c r="AB124" s="21"/>
      <c r="AC124" s="20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</row>
    <row r="125" spans="1:44" ht="15.6" x14ac:dyDescent="0.3">
      <c r="A125" s="19"/>
      <c r="B125" s="19"/>
      <c r="C125" s="20"/>
      <c r="D125" s="19"/>
      <c r="E125" s="20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20"/>
      <c r="Q125" s="19"/>
      <c r="R125" s="19"/>
      <c r="S125" s="19"/>
      <c r="T125" s="19"/>
      <c r="U125" s="19"/>
      <c r="V125" s="19"/>
      <c r="W125" s="20"/>
      <c r="X125" s="19"/>
      <c r="Y125" s="21"/>
      <c r="Z125" s="21"/>
      <c r="AA125" s="21"/>
      <c r="AB125" s="21"/>
      <c r="AC125" s="20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</row>
    <row r="126" spans="1:44" ht="15.6" x14ac:dyDescent="0.3">
      <c r="A126" s="19"/>
      <c r="B126" s="19"/>
      <c r="C126" s="20"/>
      <c r="D126" s="19"/>
      <c r="E126" s="20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20"/>
      <c r="Q126" s="19"/>
      <c r="R126" s="19"/>
      <c r="S126" s="19"/>
      <c r="T126" s="19"/>
      <c r="U126" s="19"/>
      <c r="V126" s="19"/>
      <c r="W126" s="20"/>
      <c r="X126" s="19"/>
      <c r="Y126" s="21"/>
      <c r="Z126" s="21"/>
      <c r="AA126" s="21"/>
      <c r="AB126" s="21"/>
      <c r="AC126" s="20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</row>
    <row r="127" spans="1:44" ht="15.6" x14ac:dyDescent="0.3">
      <c r="A127" s="19"/>
      <c r="B127" s="19"/>
      <c r="C127" s="20"/>
      <c r="D127" s="19"/>
      <c r="E127" s="20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20"/>
      <c r="Q127" s="19"/>
      <c r="R127" s="19"/>
      <c r="S127" s="19"/>
      <c r="T127" s="19"/>
      <c r="U127" s="19"/>
      <c r="V127" s="19"/>
      <c r="W127" s="20"/>
      <c r="X127" s="19"/>
      <c r="Y127" s="21"/>
      <c r="Z127" s="21"/>
      <c r="AA127" s="21"/>
      <c r="AB127" s="21"/>
      <c r="AC127" s="20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</row>
    <row r="128" spans="1:44" ht="15.6" x14ac:dyDescent="0.3">
      <c r="A128" s="19"/>
      <c r="B128" s="19"/>
      <c r="C128" s="20"/>
      <c r="D128" s="19"/>
      <c r="E128" s="20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20"/>
      <c r="Q128" s="19"/>
      <c r="R128" s="19"/>
      <c r="S128" s="19"/>
      <c r="T128" s="19"/>
      <c r="U128" s="19"/>
      <c r="V128" s="19"/>
      <c r="W128" s="20"/>
      <c r="X128" s="19"/>
      <c r="Y128" s="21"/>
      <c r="Z128" s="21"/>
      <c r="AA128" s="21"/>
      <c r="AB128" s="21"/>
      <c r="AC128" s="20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</row>
    <row r="129" spans="1:44" ht="15.6" x14ac:dyDescent="0.3">
      <c r="A129" s="19"/>
      <c r="B129" s="19"/>
      <c r="C129" s="20"/>
      <c r="D129" s="19"/>
      <c r="E129" s="20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20"/>
      <c r="Q129" s="19"/>
      <c r="R129" s="19"/>
      <c r="S129" s="19"/>
      <c r="T129" s="19"/>
      <c r="U129" s="19"/>
      <c r="V129" s="19"/>
      <c r="W129" s="20"/>
      <c r="X129" s="19"/>
      <c r="Y129" s="21"/>
      <c r="Z129" s="21"/>
      <c r="AA129" s="21"/>
      <c r="AB129" s="21"/>
      <c r="AC129" s="20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</row>
    <row r="130" spans="1:44" ht="15.6" x14ac:dyDescent="0.3">
      <c r="A130" s="19"/>
      <c r="B130" s="19"/>
      <c r="C130" s="20"/>
      <c r="D130" s="19"/>
      <c r="E130" s="20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20"/>
      <c r="Q130" s="19"/>
      <c r="R130" s="19"/>
      <c r="S130" s="19"/>
      <c r="T130" s="19"/>
      <c r="U130" s="19"/>
      <c r="V130" s="19"/>
      <c r="W130" s="20"/>
      <c r="X130" s="19"/>
      <c r="Y130" s="21"/>
      <c r="Z130" s="21"/>
      <c r="AA130" s="21"/>
      <c r="AB130" s="21"/>
      <c r="AC130" s="20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</row>
    <row r="131" spans="1:44" ht="15.6" x14ac:dyDescent="0.3">
      <c r="A131" s="19"/>
      <c r="B131" s="19"/>
      <c r="C131" s="20"/>
      <c r="D131" s="19"/>
      <c r="E131" s="20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20"/>
      <c r="Q131" s="19"/>
      <c r="R131" s="19"/>
      <c r="S131" s="19"/>
      <c r="T131" s="19"/>
      <c r="U131" s="19"/>
      <c r="V131" s="19"/>
      <c r="W131" s="20"/>
      <c r="X131" s="19"/>
      <c r="Y131" s="21"/>
      <c r="Z131" s="21"/>
      <c r="AA131" s="21"/>
      <c r="AB131" s="21"/>
      <c r="AC131" s="20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</row>
    <row r="132" spans="1:44" ht="15.6" x14ac:dyDescent="0.3">
      <c r="A132" s="19"/>
      <c r="B132" s="19"/>
      <c r="C132" s="20"/>
      <c r="D132" s="19"/>
      <c r="E132" s="20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20"/>
      <c r="Q132" s="19"/>
      <c r="R132" s="19"/>
      <c r="S132" s="19"/>
      <c r="T132" s="19"/>
      <c r="U132" s="19"/>
      <c r="V132" s="19"/>
      <c r="W132" s="20"/>
      <c r="X132" s="19"/>
      <c r="Y132" s="21"/>
      <c r="Z132" s="21"/>
      <c r="AA132" s="21"/>
      <c r="AB132" s="21"/>
      <c r="AC132" s="20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</row>
    <row r="133" spans="1:44" ht="15.6" x14ac:dyDescent="0.3">
      <c r="A133" s="19"/>
      <c r="B133" s="19"/>
      <c r="C133" s="20"/>
      <c r="D133" s="19"/>
      <c r="E133" s="20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20"/>
      <c r="Q133" s="19"/>
      <c r="R133" s="19"/>
      <c r="S133" s="19"/>
      <c r="T133" s="19"/>
      <c r="U133" s="19"/>
      <c r="V133" s="19"/>
      <c r="W133" s="20"/>
      <c r="X133" s="19"/>
      <c r="Y133" s="21"/>
      <c r="Z133" s="21"/>
      <c r="AA133" s="21"/>
      <c r="AB133" s="21"/>
      <c r="AC133" s="20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</row>
    <row r="134" spans="1:44" ht="15.6" x14ac:dyDescent="0.3">
      <c r="A134" s="19"/>
      <c r="B134" s="19"/>
      <c r="C134" s="20"/>
      <c r="D134" s="19"/>
      <c r="E134" s="20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20"/>
      <c r="Q134" s="19"/>
      <c r="R134" s="19"/>
      <c r="S134" s="19"/>
      <c r="T134" s="19"/>
      <c r="U134" s="19"/>
      <c r="V134" s="19"/>
      <c r="W134" s="20"/>
      <c r="X134" s="19"/>
      <c r="Y134" s="21"/>
      <c r="Z134" s="21"/>
      <c r="AA134" s="21"/>
      <c r="AB134" s="21"/>
      <c r="AC134" s="20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</row>
    <row r="135" spans="1:44" ht="15.6" x14ac:dyDescent="0.3">
      <c r="A135" s="19"/>
      <c r="B135" s="19"/>
      <c r="C135" s="20"/>
      <c r="D135" s="19"/>
      <c r="E135" s="20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20"/>
      <c r="Q135" s="19"/>
      <c r="R135" s="19"/>
      <c r="S135" s="19"/>
      <c r="T135" s="19"/>
      <c r="U135" s="19"/>
      <c r="V135" s="19"/>
      <c r="W135" s="20"/>
      <c r="X135" s="19"/>
      <c r="Y135" s="21"/>
      <c r="Z135" s="21"/>
      <c r="AA135" s="21"/>
      <c r="AB135" s="21"/>
      <c r="AC135" s="20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</row>
    <row r="136" spans="1:44" ht="15.6" x14ac:dyDescent="0.3">
      <c r="A136" s="19"/>
      <c r="B136" s="19"/>
      <c r="C136" s="20"/>
      <c r="D136" s="19"/>
      <c r="E136" s="20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20"/>
      <c r="Q136" s="19"/>
      <c r="R136" s="19"/>
      <c r="S136" s="19"/>
      <c r="T136" s="19"/>
      <c r="U136" s="19"/>
      <c r="V136" s="19"/>
      <c r="W136" s="20"/>
      <c r="X136" s="19"/>
      <c r="Y136" s="21"/>
      <c r="Z136" s="21"/>
      <c r="AA136" s="21"/>
      <c r="AB136" s="21"/>
      <c r="AC136" s="20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</row>
    <row r="137" spans="1:44" ht="15.6" x14ac:dyDescent="0.3">
      <c r="A137" s="19"/>
      <c r="B137" s="19"/>
      <c r="C137" s="20"/>
      <c r="D137" s="19"/>
      <c r="E137" s="20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20"/>
      <c r="Q137" s="19"/>
      <c r="R137" s="19"/>
      <c r="S137" s="19"/>
      <c r="T137" s="19"/>
      <c r="U137" s="19"/>
      <c r="V137" s="19"/>
      <c r="W137" s="20"/>
      <c r="X137" s="19"/>
      <c r="Y137" s="21"/>
      <c r="Z137" s="21"/>
      <c r="AA137" s="21"/>
      <c r="AB137" s="21"/>
      <c r="AC137" s="20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</row>
    <row r="138" spans="1:44" ht="15.6" x14ac:dyDescent="0.3">
      <c r="A138" s="19"/>
      <c r="B138" s="19"/>
      <c r="C138" s="20"/>
      <c r="D138" s="19"/>
      <c r="E138" s="20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20"/>
      <c r="Q138" s="19"/>
      <c r="R138" s="19"/>
      <c r="S138" s="19"/>
      <c r="T138" s="19"/>
      <c r="U138" s="19"/>
      <c r="V138" s="19"/>
      <c r="W138" s="20"/>
      <c r="X138" s="19"/>
      <c r="Y138" s="21"/>
      <c r="Z138" s="21"/>
      <c r="AA138" s="21"/>
      <c r="AB138" s="21"/>
      <c r="AC138" s="20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</row>
    <row r="139" spans="1:44" ht="15.6" x14ac:dyDescent="0.3">
      <c r="A139" s="19"/>
      <c r="B139" s="19"/>
      <c r="C139" s="20"/>
      <c r="D139" s="19"/>
      <c r="E139" s="20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20"/>
      <c r="Q139" s="19"/>
      <c r="R139" s="19"/>
      <c r="S139" s="19"/>
      <c r="T139" s="19"/>
      <c r="U139" s="19"/>
      <c r="V139" s="19"/>
      <c r="W139" s="20"/>
      <c r="X139" s="19"/>
      <c r="Y139" s="21"/>
      <c r="Z139" s="21"/>
      <c r="AA139" s="21"/>
      <c r="AB139" s="21"/>
      <c r="AC139" s="20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</row>
    <row r="140" spans="1:44" ht="15.6" x14ac:dyDescent="0.3">
      <c r="A140" s="19"/>
      <c r="B140" s="19"/>
      <c r="C140" s="20"/>
      <c r="D140" s="19"/>
      <c r="E140" s="20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20"/>
      <c r="Q140" s="19"/>
      <c r="R140" s="19"/>
      <c r="S140" s="19"/>
      <c r="T140" s="19"/>
      <c r="U140" s="19"/>
      <c r="V140" s="19"/>
      <c r="W140" s="20"/>
      <c r="X140" s="19"/>
      <c r="Y140" s="21"/>
      <c r="Z140" s="21"/>
      <c r="AA140" s="21"/>
      <c r="AB140" s="21"/>
      <c r="AC140" s="20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</row>
    <row r="141" spans="1:44" ht="15.6" x14ac:dyDescent="0.3">
      <c r="A141" s="19"/>
      <c r="B141" s="19"/>
      <c r="C141" s="20"/>
      <c r="D141" s="19"/>
      <c r="E141" s="20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20"/>
      <c r="Q141" s="19"/>
      <c r="R141" s="19"/>
      <c r="S141" s="19"/>
      <c r="T141" s="19"/>
      <c r="U141" s="19"/>
      <c r="V141" s="19"/>
      <c r="W141" s="20"/>
      <c r="X141" s="19"/>
      <c r="Y141" s="21"/>
      <c r="Z141" s="21"/>
      <c r="AA141" s="21"/>
      <c r="AB141" s="21"/>
      <c r="AC141" s="20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</row>
    <row r="142" spans="1:44" ht="15.6" x14ac:dyDescent="0.3">
      <c r="A142" s="19"/>
      <c r="B142" s="19"/>
      <c r="C142" s="20"/>
      <c r="D142" s="19"/>
      <c r="E142" s="20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20"/>
      <c r="Q142" s="19"/>
      <c r="R142" s="19"/>
      <c r="S142" s="19"/>
      <c r="T142" s="19"/>
      <c r="U142" s="19"/>
      <c r="V142" s="19"/>
      <c r="W142" s="20"/>
      <c r="X142" s="19"/>
      <c r="Y142" s="21"/>
      <c r="Z142" s="21"/>
      <c r="AA142" s="21"/>
      <c r="AB142" s="21"/>
      <c r="AC142" s="20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</row>
    <row r="143" spans="1:44" ht="15.6" x14ac:dyDescent="0.3">
      <c r="A143" s="19"/>
      <c r="B143" s="19"/>
      <c r="C143" s="20"/>
      <c r="D143" s="19"/>
      <c r="E143" s="20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20"/>
      <c r="Q143" s="19"/>
      <c r="R143" s="19"/>
      <c r="S143" s="19"/>
      <c r="T143" s="19"/>
      <c r="U143" s="19"/>
      <c r="V143" s="19"/>
      <c r="W143" s="20"/>
      <c r="X143" s="19"/>
      <c r="Y143" s="21"/>
      <c r="Z143" s="21"/>
      <c r="AA143" s="21"/>
      <c r="AB143" s="21"/>
      <c r="AC143" s="20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</row>
    <row r="144" spans="1:44" ht="15.6" x14ac:dyDescent="0.3">
      <c r="A144" s="19"/>
      <c r="B144" s="19"/>
      <c r="C144" s="20"/>
      <c r="D144" s="19"/>
      <c r="E144" s="20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20"/>
      <c r="Q144" s="19"/>
      <c r="R144" s="19"/>
      <c r="S144" s="19"/>
      <c r="T144" s="19"/>
      <c r="U144" s="19"/>
      <c r="V144" s="19"/>
      <c r="W144" s="20"/>
      <c r="X144" s="19"/>
      <c r="Y144" s="21"/>
      <c r="Z144" s="21"/>
      <c r="AA144" s="21"/>
      <c r="AB144" s="21"/>
      <c r="AC144" s="20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</row>
    <row r="145" spans="1:44" ht="15.6" x14ac:dyDescent="0.3">
      <c r="A145" s="19"/>
      <c r="B145" s="19"/>
      <c r="C145" s="20"/>
      <c r="D145" s="19"/>
      <c r="E145" s="20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20"/>
      <c r="Q145" s="19"/>
      <c r="R145" s="19"/>
      <c r="S145" s="19"/>
      <c r="T145" s="19"/>
      <c r="U145" s="19"/>
      <c r="V145" s="19"/>
      <c r="W145" s="20"/>
      <c r="X145" s="19"/>
      <c r="Y145" s="21"/>
      <c r="Z145" s="21"/>
      <c r="AA145" s="21"/>
      <c r="AB145" s="21"/>
      <c r="AC145" s="20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</row>
    <row r="146" spans="1:44" ht="15.6" x14ac:dyDescent="0.3">
      <c r="A146" s="19"/>
      <c r="B146" s="19"/>
      <c r="C146" s="20"/>
      <c r="D146" s="19"/>
      <c r="E146" s="20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20"/>
      <c r="Q146" s="19"/>
      <c r="R146" s="19"/>
      <c r="S146" s="19"/>
      <c r="T146" s="19"/>
      <c r="U146" s="19"/>
      <c r="V146" s="19"/>
      <c r="W146" s="20"/>
      <c r="X146" s="19"/>
      <c r="Y146" s="21"/>
      <c r="Z146" s="21"/>
      <c r="AA146" s="21"/>
      <c r="AB146" s="21"/>
      <c r="AC146" s="20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</row>
    <row r="147" spans="1:44" ht="15.6" x14ac:dyDescent="0.3">
      <c r="A147" s="19"/>
      <c r="B147" s="19"/>
      <c r="C147" s="20"/>
      <c r="D147" s="19"/>
      <c r="E147" s="20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20"/>
      <c r="Q147" s="19"/>
      <c r="R147" s="19"/>
      <c r="S147" s="19"/>
      <c r="T147" s="19"/>
      <c r="U147" s="19"/>
      <c r="V147" s="19"/>
      <c r="W147" s="20"/>
      <c r="X147" s="19"/>
      <c r="Y147" s="21"/>
      <c r="Z147" s="21"/>
      <c r="AA147" s="21"/>
      <c r="AB147" s="21"/>
      <c r="AC147" s="20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</row>
    <row r="148" spans="1:44" ht="15.6" x14ac:dyDescent="0.3">
      <c r="A148" s="19"/>
      <c r="B148" s="19"/>
      <c r="C148" s="20"/>
      <c r="D148" s="19"/>
      <c r="E148" s="20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20"/>
      <c r="Q148" s="19"/>
      <c r="R148" s="19"/>
      <c r="S148" s="19"/>
      <c r="T148" s="19"/>
      <c r="U148" s="19"/>
      <c r="V148" s="19"/>
      <c r="W148" s="20"/>
      <c r="X148" s="19"/>
      <c r="Y148" s="21"/>
      <c r="Z148" s="21"/>
      <c r="AA148" s="21"/>
      <c r="AB148" s="21"/>
      <c r="AC148" s="20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</row>
    <row r="149" spans="1:44" ht="15.6" x14ac:dyDescent="0.3">
      <c r="A149" s="19"/>
      <c r="B149" s="19"/>
      <c r="C149" s="20"/>
      <c r="D149" s="19"/>
      <c r="E149" s="20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20"/>
      <c r="Q149" s="19"/>
      <c r="R149" s="19"/>
      <c r="S149" s="19"/>
      <c r="T149" s="19"/>
      <c r="U149" s="19"/>
      <c r="V149" s="19"/>
      <c r="W149" s="20"/>
      <c r="X149" s="19"/>
      <c r="Y149" s="21"/>
      <c r="Z149" s="21"/>
      <c r="AA149" s="21"/>
      <c r="AB149" s="21"/>
      <c r="AC149" s="20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</row>
    <row r="150" spans="1:44" ht="15.6" x14ac:dyDescent="0.3">
      <c r="A150" s="19"/>
      <c r="B150" s="19"/>
      <c r="C150" s="20"/>
      <c r="D150" s="19"/>
      <c r="E150" s="20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20"/>
      <c r="Q150" s="19"/>
      <c r="R150" s="19"/>
      <c r="S150" s="19"/>
      <c r="T150" s="19"/>
      <c r="U150" s="19"/>
      <c r="V150" s="19"/>
      <c r="W150" s="20"/>
      <c r="X150" s="19"/>
      <c r="Y150" s="21"/>
      <c r="Z150" s="21"/>
      <c r="AA150" s="21"/>
      <c r="AB150" s="21"/>
      <c r="AC150" s="20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</row>
    <row r="151" spans="1:44" ht="15.6" x14ac:dyDescent="0.3">
      <c r="A151" s="19"/>
      <c r="B151" s="19"/>
      <c r="C151" s="20"/>
      <c r="D151" s="19"/>
      <c r="E151" s="20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20"/>
      <c r="Q151" s="19"/>
      <c r="R151" s="19"/>
      <c r="S151" s="19"/>
      <c r="T151" s="19"/>
      <c r="U151" s="19"/>
      <c r="V151" s="19"/>
      <c r="W151" s="20"/>
      <c r="X151" s="19"/>
      <c r="Y151" s="21"/>
      <c r="Z151" s="21"/>
      <c r="AA151" s="21"/>
      <c r="AB151" s="21"/>
      <c r="AC151" s="20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</row>
    <row r="152" spans="1:44" ht="15.6" x14ac:dyDescent="0.3">
      <c r="A152" s="19"/>
      <c r="B152" s="19"/>
      <c r="C152" s="20"/>
      <c r="D152" s="19"/>
      <c r="E152" s="20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20"/>
      <c r="Q152" s="19"/>
      <c r="R152" s="19"/>
      <c r="S152" s="19"/>
      <c r="T152" s="19"/>
      <c r="U152" s="19"/>
      <c r="V152" s="19"/>
      <c r="W152" s="20"/>
      <c r="X152" s="19"/>
      <c r="Y152" s="21"/>
      <c r="Z152" s="21"/>
      <c r="AA152" s="21"/>
      <c r="AB152" s="21"/>
      <c r="AC152" s="20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</row>
    <row r="153" spans="1:44" ht="15.6" x14ac:dyDescent="0.3">
      <c r="A153" s="19"/>
      <c r="B153" s="19"/>
      <c r="C153" s="20"/>
      <c r="D153" s="19"/>
      <c r="E153" s="20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20"/>
      <c r="Q153" s="19"/>
      <c r="R153" s="19"/>
      <c r="S153" s="19"/>
      <c r="T153" s="19"/>
      <c r="U153" s="19"/>
      <c r="V153" s="19"/>
      <c r="W153" s="20"/>
      <c r="X153" s="19"/>
      <c r="Y153" s="21"/>
      <c r="Z153" s="21"/>
      <c r="AA153" s="21"/>
      <c r="AB153" s="21"/>
      <c r="AC153" s="20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</row>
    <row r="154" spans="1:44" ht="15.6" x14ac:dyDescent="0.3">
      <c r="A154" s="19"/>
      <c r="B154" s="19"/>
      <c r="C154" s="20"/>
      <c r="D154" s="19"/>
      <c r="E154" s="20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20"/>
      <c r="Q154" s="19"/>
      <c r="R154" s="19"/>
      <c r="S154" s="19"/>
      <c r="T154" s="19"/>
      <c r="U154" s="19"/>
      <c r="V154" s="19"/>
      <c r="W154" s="20"/>
      <c r="X154" s="19"/>
      <c r="Y154" s="21"/>
      <c r="Z154" s="21"/>
      <c r="AA154" s="21"/>
      <c r="AB154" s="21"/>
      <c r="AC154" s="20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</row>
    <row r="155" spans="1:44" ht="15.6" x14ac:dyDescent="0.3">
      <c r="A155" s="19"/>
      <c r="B155" s="19"/>
      <c r="C155" s="20"/>
      <c r="D155" s="19"/>
      <c r="E155" s="20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20"/>
      <c r="Q155" s="19"/>
      <c r="R155" s="19"/>
      <c r="S155" s="19"/>
      <c r="T155" s="19"/>
      <c r="U155" s="19"/>
      <c r="V155" s="19"/>
      <c r="W155" s="20"/>
      <c r="X155" s="19"/>
      <c r="Y155" s="21"/>
      <c r="Z155" s="21"/>
      <c r="AA155" s="21"/>
      <c r="AB155" s="21"/>
      <c r="AC155" s="20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</row>
    <row r="156" spans="1:44" ht="15.6" x14ac:dyDescent="0.3">
      <c r="A156" s="19"/>
      <c r="B156" s="19"/>
      <c r="C156" s="20"/>
      <c r="D156" s="19"/>
      <c r="E156" s="20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20"/>
      <c r="Q156" s="19"/>
      <c r="R156" s="19"/>
      <c r="S156" s="19"/>
      <c r="T156" s="19"/>
      <c r="U156" s="19"/>
      <c r="V156" s="19"/>
      <c r="W156" s="20"/>
      <c r="X156" s="19"/>
      <c r="Y156" s="21"/>
      <c r="Z156" s="21"/>
      <c r="AA156" s="21"/>
      <c r="AB156" s="21"/>
      <c r="AC156" s="20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</row>
    <row r="157" spans="1:44" ht="15.6" x14ac:dyDescent="0.3">
      <c r="A157" s="19"/>
      <c r="B157" s="19"/>
      <c r="C157" s="20"/>
      <c r="D157" s="19"/>
      <c r="E157" s="20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20"/>
      <c r="Q157" s="19"/>
      <c r="R157" s="19"/>
      <c r="S157" s="19"/>
      <c r="T157" s="19"/>
      <c r="U157" s="19"/>
      <c r="V157" s="19"/>
      <c r="W157" s="20"/>
      <c r="X157" s="19"/>
      <c r="Y157" s="21"/>
      <c r="Z157" s="21"/>
      <c r="AA157" s="21"/>
      <c r="AB157" s="21"/>
      <c r="AC157" s="20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</row>
    <row r="158" spans="1:44" ht="15.6" x14ac:dyDescent="0.3">
      <c r="A158" s="19"/>
      <c r="B158" s="19"/>
      <c r="C158" s="20"/>
      <c r="D158" s="19"/>
      <c r="E158" s="2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20"/>
      <c r="Q158" s="19"/>
      <c r="R158" s="19"/>
      <c r="S158" s="19"/>
      <c r="T158" s="19"/>
      <c r="U158" s="19"/>
      <c r="V158" s="19"/>
      <c r="W158" s="20"/>
      <c r="X158" s="19"/>
      <c r="Y158" s="21"/>
      <c r="Z158" s="21"/>
      <c r="AA158" s="21"/>
      <c r="AB158" s="21"/>
      <c r="AC158" s="20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</row>
    <row r="159" spans="1:44" ht="15.6" x14ac:dyDescent="0.3">
      <c r="A159" s="19"/>
      <c r="B159" s="19"/>
      <c r="C159" s="20"/>
      <c r="D159" s="19"/>
      <c r="E159" s="2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20"/>
      <c r="Q159" s="19"/>
      <c r="R159" s="19"/>
      <c r="S159" s="19"/>
      <c r="T159" s="19"/>
      <c r="U159" s="19"/>
      <c r="V159" s="19"/>
      <c r="W159" s="20"/>
      <c r="X159" s="19"/>
      <c r="Y159" s="21"/>
      <c r="Z159" s="21"/>
      <c r="AA159" s="21"/>
      <c r="AB159" s="21"/>
      <c r="AC159" s="20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</row>
    <row r="160" spans="1:44" ht="15.6" x14ac:dyDescent="0.3">
      <c r="A160" s="19"/>
      <c r="B160" s="19"/>
      <c r="C160" s="20"/>
      <c r="D160" s="19"/>
      <c r="E160" s="2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20"/>
      <c r="Q160" s="19"/>
      <c r="R160" s="19"/>
      <c r="S160" s="19"/>
      <c r="T160" s="19"/>
      <c r="U160" s="19"/>
      <c r="V160" s="19"/>
      <c r="W160" s="20"/>
      <c r="X160" s="19"/>
      <c r="Y160" s="21"/>
      <c r="Z160" s="21"/>
      <c r="AA160" s="21"/>
      <c r="AB160" s="21"/>
      <c r="AC160" s="20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</row>
    <row r="161" spans="1:44" ht="15.6" x14ac:dyDescent="0.3">
      <c r="A161" s="19"/>
      <c r="B161" s="19"/>
      <c r="C161" s="20"/>
      <c r="D161" s="19"/>
      <c r="E161" s="2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20"/>
      <c r="Q161" s="19"/>
      <c r="R161" s="19"/>
      <c r="S161" s="19"/>
      <c r="T161" s="19"/>
      <c r="U161" s="19"/>
      <c r="V161" s="19"/>
      <c r="W161" s="20"/>
      <c r="X161" s="19"/>
      <c r="Y161" s="21"/>
      <c r="Z161" s="21"/>
      <c r="AA161" s="21"/>
      <c r="AB161" s="21"/>
      <c r="AC161" s="20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</row>
    <row r="162" spans="1:44" ht="15.6" x14ac:dyDescent="0.3">
      <c r="A162" s="19"/>
      <c r="B162" s="19"/>
      <c r="C162" s="20"/>
      <c r="D162" s="19"/>
      <c r="E162" s="2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20"/>
      <c r="Q162" s="19"/>
      <c r="R162" s="19"/>
      <c r="S162" s="19"/>
      <c r="T162" s="19"/>
      <c r="U162" s="19"/>
      <c r="V162" s="19"/>
      <c r="W162" s="20"/>
      <c r="X162" s="19"/>
      <c r="Y162" s="21"/>
      <c r="Z162" s="21"/>
      <c r="AA162" s="21"/>
      <c r="AB162" s="21"/>
      <c r="AC162" s="20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</row>
    <row r="163" spans="1:44" ht="15.6" x14ac:dyDescent="0.3">
      <c r="A163" s="19"/>
      <c r="B163" s="19"/>
      <c r="C163" s="20"/>
      <c r="D163" s="19"/>
      <c r="E163" s="20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20"/>
      <c r="Q163" s="19"/>
      <c r="R163" s="19"/>
      <c r="S163" s="19"/>
      <c r="T163" s="19"/>
      <c r="U163" s="19"/>
      <c r="V163" s="19"/>
      <c r="W163" s="20"/>
      <c r="X163" s="19"/>
      <c r="Y163" s="21"/>
      <c r="Z163" s="21"/>
      <c r="AA163" s="21"/>
      <c r="AB163" s="21"/>
      <c r="AC163" s="20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</row>
    <row r="164" spans="1:44" ht="15.6" x14ac:dyDescent="0.3">
      <c r="A164" s="19"/>
      <c r="B164" s="19"/>
      <c r="C164" s="20"/>
      <c r="D164" s="19"/>
      <c r="E164" s="20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20"/>
      <c r="Q164" s="19"/>
      <c r="R164" s="19"/>
      <c r="S164" s="19"/>
      <c r="T164" s="19"/>
      <c r="U164" s="19"/>
      <c r="V164" s="19"/>
      <c r="W164" s="20"/>
      <c r="X164" s="19"/>
      <c r="Y164" s="21"/>
      <c r="Z164" s="21"/>
      <c r="AA164" s="21"/>
      <c r="AB164" s="21"/>
      <c r="AC164" s="20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</row>
    <row r="165" spans="1:44" ht="15.6" x14ac:dyDescent="0.3">
      <c r="A165" s="19"/>
      <c r="B165" s="19"/>
      <c r="C165" s="20"/>
      <c r="D165" s="19"/>
      <c r="E165" s="20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20"/>
      <c r="Q165" s="19"/>
      <c r="R165" s="19"/>
      <c r="S165" s="19"/>
      <c r="T165" s="19"/>
      <c r="U165" s="19"/>
      <c r="V165" s="19"/>
      <c r="W165" s="20"/>
      <c r="X165" s="19"/>
      <c r="Y165" s="21"/>
      <c r="Z165" s="21"/>
      <c r="AA165" s="21"/>
      <c r="AB165" s="21"/>
      <c r="AC165" s="20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</row>
    <row r="166" spans="1:44" ht="15.6" x14ac:dyDescent="0.3">
      <c r="A166" s="19"/>
      <c r="B166" s="19"/>
      <c r="C166" s="20"/>
      <c r="D166" s="19"/>
      <c r="E166" s="20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20"/>
      <c r="Q166" s="19"/>
      <c r="R166" s="19"/>
      <c r="S166" s="19"/>
      <c r="T166" s="19"/>
      <c r="U166" s="19"/>
      <c r="V166" s="19"/>
      <c r="W166" s="20"/>
      <c r="X166" s="19"/>
      <c r="Y166" s="21"/>
      <c r="Z166" s="21"/>
      <c r="AA166" s="21"/>
      <c r="AB166" s="21"/>
      <c r="AC166" s="20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</row>
    <row r="167" spans="1:44" ht="15.6" x14ac:dyDescent="0.3">
      <c r="A167" s="19"/>
      <c r="B167" s="19"/>
      <c r="C167" s="20"/>
      <c r="D167" s="19"/>
      <c r="E167" s="20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20"/>
      <c r="Q167" s="19"/>
      <c r="R167" s="19"/>
      <c r="S167" s="19"/>
      <c r="T167" s="19"/>
      <c r="U167" s="19"/>
      <c r="V167" s="19"/>
      <c r="W167" s="20"/>
      <c r="X167" s="19"/>
      <c r="Y167" s="21"/>
      <c r="Z167" s="21"/>
      <c r="AA167" s="21"/>
      <c r="AB167" s="21"/>
      <c r="AC167" s="20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</row>
    <row r="168" spans="1:44" ht="15.6" x14ac:dyDescent="0.3">
      <c r="A168" s="19"/>
      <c r="B168" s="19"/>
      <c r="C168" s="20"/>
      <c r="D168" s="19"/>
      <c r="E168" s="20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20"/>
      <c r="Q168" s="19"/>
      <c r="R168" s="19"/>
      <c r="S168" s="19"/>
      <c r="T168" s="19"/>
      <c r="U168" s="19"/>
      <c r="V168" s="19"/>
      <c r="W168" s="20"/>
      <c r="X168" s="19"/>
      <c r="Y168" s="21"/>
      <c r="Z168" s="21"/>
      <c r="AA168" s="21"/>
      <c r="AB168" s="21"/>
      <c r="AC168" s="20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</row>
    <row r="169" spans="1:44" ht="15.6" x14ac:dyDescent="0.3">
      <c r="A169" s="19"/>
      <c r="B169" s="19"/>
      <c r="C169" s="20"/>
      <c r="D169" s="19"/>
      <c r="E169" s="20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20"/>
      <c r="Q169" s="19"/>
      <c r="R169" s="19"/>
      <c r="S169" s="19"/>
      <c r="T169" s="19"/>
      <c r="U169" s="19"/>
      <c r="V169" s="19"/>
      <c r="W169" s="20"/>
      <c r="X169" s="19"/>
      <c r="Y169" s="21"/>
      <c r="Z169" s="21"/>
      <c r="AA169" s="21"/>
      <c r="AB169" s="21"/>
      <c r="AC169" s="20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</row>
    <row r="170" spans="1:44" ht="15.6" x14ac:dyDescent="0.3">
      <c r="A170" s="19"/>
      <c r="B170" s="19"/>
      <c r="C170" s="20"/>
      <c r="D170" s="19"/>
      <c r="E170" s="20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20"/>
      <c r="Q170" s="19"/>
      <c r="R170" s="19"/>
      <c r="S170" s="19"/>
      <c r="T170" s="19"/>
      <c r="U170" s="19"/>
      <c r="V170" s="19"/>
      <c r="W170" s="20"/>
      <c r="X170" s="19"/>
      <c r="Y170" s="21"/>
      <c r="Z170" s="21"/>
      <c r="AA170" s="21"/>
      <c r="AB170" s="21"/>
      <c r="AC170" s="20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</row>
    <row r="171" spans="1:44" ht="15.6" x14ac:dyDescent="0.3">
      <c r="A171" s="19"/>
      <c r="B171" s="19"/>
      <c r="C171" s="20"/>
      <c r="D171" s="19"/>
      <c r="E171" s="20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20"/>
      <c r="Q171" s="19"/>
      <c r="R171" s="19"/>
      <c r="S171" s="19"/>
      <c r="T171" s="19"/>
      <c r="U171" s="19"/>
      <c r="V171" s="19"/>
      <c r="W171" s="20"/>
      <c r="X171" s="19"/>
      <c r="Y171" s="21"/>
      <c r="Z171" s="21"/>
      <c r="AA171" s="21"/>
      <c r="AB171" s="21"/>
      <c r="AC171" s="20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</row>
    <row r="172" spans="1:44" ht="15.6" x14ac:dyDescent="0.3">
      <c r="A172" s="19"/>
      <c r="B172" s="19"/>
      <c r="C172" s="20"/>
      <c r="D172" s="19"/>
      <c r="E172" s="20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20"/>
      <c r="Q172" s="19"/>
      <c r="R172" s="19"/>
      <c r="S172" s="19"/>
      <c r="T172" s="19"/>
      <c r="U172" s="19"/>
      <c r="V172" s="19"/>
      <c r="W172" s="20"/>
      <c r="X172" s="19"/>
      <c r="Y172" s="21"/>
      <c r="Z172" s="21"/>
      <c r="AA172" s="21"/>
      <c r="AB172" s="21"/>
      <c r="AC172" s="20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</row>
    <row r="173" spans="1:44" ht="15.6" x14ac:dyDescent="0.3">
      <c r="A173" s="19"/>
      <c r="B173" s="19"/>
      <c r="C173" s="20"/>
      <c r="D173" s="19"/>
      <c r="E173" s="20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20"/>
      <c r="Q173" s="19"/>
      <c r="R173" s="19"/>
      <c r="S173" s="19"/>
      <c r="T173" s="19"/>
      <c r="U173" s="19"/>
      <c r="V173" s="19"/>
      <c r="W173" s="20"/>
      <c r="X173" s="19"/>
      <c r="Y173" s="21"/>
      <c r="Z173" s="21"/>
      <c r="AA173" s="21"/>
      <c r="AB173" s="21"/>
      <c r="AC173" s="20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</row>
    <row r="174" spans="1:44" ht="15.6" x14ac:dyDescent="0.3">
      <c r="A174" s="19"/>
      <c r="B174" s="19"/>
      <c r="C174" s="20"/>
      <c r="D174" s="19"/>
      <c r="E174" s="20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20"/>
      <c r="Q174" s="19"/>
      <c r="R174" s="19"/>
      <c r="S174" s="19"/>
      <c r="T174" s="19"/>
      <c r="U174" s="19"/>
      <c r="V174" s="19"/>
      <c r="W174" s="20"/>
      <c r="X174" s="19"/>
      <c r="Y174" s="21"/>
      <c r="Z174" s="21"/>
      <c r="AA174" s="21"/>
      <c r="AB174" s="21"/>
      <c r="AC174" s="20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</row>
    <row r="175" spans="1:44" ht="15.6" x14ac:dyDescent="0.3">
      <c r="A175" s="19"/>
      <c r="B175" s="19"/>
      <c r="C175" s="20"/>
      <c r="D175" s="19"/>
      <c r="E175" s="20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20"/>
      <c r="Q175" s="19"/>
      <c r="R175" s="19"/>
      <c r="S175" s="19"/>
      <c r="T175" s="19"/>
      <c r="U175" s="19"/>
      <c r="V175" s="19"/>
      <c r="W175" s="20"/>
      <c r="X175" s="19"/>
      <c r="Y175" s="21"/>
      <c r="Z175" s="21"/>
      <c r="AA175" s="21"/>
      <c r="AB175" s="21"/>
      <c r="AC175" s="20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</row>
    <row r="176" spans="1:44" ht="15.6" x14ac:dyDescent="0.3">
      <c r="A176" s="19"/>
      <c r="B176" s="19"/>
      <c r="C176" s="20"/>
      <c r="D176" s="19"/>
      <c r="E176" s="20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20"/>
      <c r="Q176" s="19"/>
      <c r="R176" s="19"/>
      <c r="S176" s="19"/>
      <c r="T176" s="19"/>
      <c r="U176" s="19"/>
      <c r="V176" s="19"/>
      <c r="W176" s="20"/>
      <c r="X176" s="19"/>
      <c r="Y176" s="21"/>
      <c r="Z176" s="21"/>
      <c r="AA176" s="21"/>
      <c r="AB176" s="21"/>
      <c r="AC176" s="20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</row>
    <row r="177" spans="1:44" ht="15.6" x14ac:dyDescent="0.3">
      <c r="A177" s="19"/>
      <c r="B177" s="19"/>
      <c r="C177" s="20"/>
      <c r="D177" s="19"/>
      <c r="E177" s="20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20"/>
      <c r="Q177" s="19"/>
      <c r="R177" s="19"/>
      <c r="S177" s="19"/>
      <c r="T177" s="19"/>
      <c r="U177" s="19"/>
      <c r="V177" s="19"/>
      <c r="W177" s="20"/>
      <c r="X177" s="19"/>
      <c r="Y177" s="21"/>
      <c r="Z177" s="21"/>
      <c r="AA177" s="21"/>
      <c r="AB177" s="21"/>
      <c r="AC177" s="20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</row>
    <row r="178" spans="1:44" ht="15.6" x14ac:dyDescent="0.3">
      <c r="A178" s="19"/>
      <c r="B178" s="19"/>
      <c r="C178" s="20"/>
      <c r="D178" s="19"/>
      <c r="E178" s="20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20"/>
      <c r="Q178" s="19"/>
      <c r="R178" s="19"/>
      <c r="S178" s="19"/>
      <c r="T178" s="19"/>
      <c r="U178" s="19"/>
      <c r="V178" s="19"/>
      <c r="W178" s="20"/>
      <c r="X178" s="19"/>
      <c r="Y178" s="21"/>
      <c r="Z178" s="21"/>
      <c r="AA178" s="21"/>
      <c r="AB178" s="21"/>
      <c r="AC178" s="20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</row>
    <row r="179" spans="1:44" ht="15.6" x14ac:dyDescent="0.3">
      <c r="A179" s="19"/>
      <c r="B179" s="19"/>
      <c r="C179" s="20"/>
      <c r="D179" s="19"/>
      <c r="E179" s="20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20"/>
      <c r="Q179" s="19"/>
      <c r="R179" s="19"/>
      <c r="S179" s="19"/>
      <c r="T179" s="19"/>
      <c r="U179" s="19"/>
      <c r="V179" s="19"/>
      <c r="W179" s="20"/>
      <c r="X179" s="19"/>
      <c r="Y179" s="21"/>
      <c r="Z179" s="21"/>
      <c r="AA179" s="21"/>
      <c r="AB179" s="21"/>
      <c r="AC179" s="20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</row>
    <row r="180" spans="1:44" ht="15.6" x14ac:dyDescent="0.3">
      <c r="A180" s="19"/>
      <c r="B180" s="19"/>
      <c r="C180" s="20"/>
      <c r="D180" s="19"/>
      <c r="E180" s="20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20"/>
      <c r="Q180" s="19"/>
      <c r="R180" s="19"/>
      <c r="S180" s="19"/>
      <c r="T180" s="19"/>
      <c r="U180" s="19"/>
      <c r="V180" s="19"/>
      <c r="W180" s="20"/>
      <c r="X180" s="19"/>
      <c r="Y180" s="21"/>
      <c r="Z180" s="21"/>
      <c r="AA180" s="21"/>
      <c r="AB180" s="21"/>
      <c r="AC180" s="20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</row>
    <row r="181" spans="1:44" ht="15.6" x14ac:dyDescent="0.3">
      <c r="A181" s="19"/>
      <c r="B181" s="19"/>
      <c r="C181" s="20"/>
      <c r="D181" s="19"/>
      <c r="E181" s="20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20"/>
      <c r="Q181" s="19"/>
      <c r="R181" s="19"/>
      <c r="S181" s="19"/>
      <c r="T181" s="19"/>
      <c r="U181" s="19"/>
      <c r="V181" s="19"/>
      <c r="W181" s="20"/>
      <c r="X181" s="19"/>
      <c r="Y181" s="21"/>
      <c r="Z181" s="21"/>
      <c r="AA181" s="21"/>
      <c r="AB181" s="21"/>
      <c r="AC181" s="20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</row>
    <row r="182" spans="1:44" ht="15.6" x14ac:dyDescent="0.3">
      <c r="A182" s="19"/>
      <c r="B182" s="19"/>
      <c r="C182" s="20"/>
      <c r="D182" s="19"/>
      <c r="E182" s="20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20"/>
      <c r="Q182" s="19"/>
      <c r="R182" s="19"/>
      <c r="S182" s="19"/>
      <c r="T182" s="19"/>
      <c r="U182" s="19"/>
      <c r="V182" s="19"/>
      <c r="W182" s="20"/>
      <c r="X182" s="19"/>
      <c r="Y182" s="21"/>
      <c r="Z182" s="21"/>
      <c r="AA182" s="21"/>
      <c r="AB182" s="21"/>
      <c r="AC182" s="20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</row>
    <row r="183" spans="1:44" ht="15.6" x14ac:dyDescent="0.3">
      <c r="A183" s="19"/>
      <c r="B183" s="19"/>
      <c r="C183" s="20"/>
      <c r="D183" s="19"/>
      <c r="E183" s="20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20"/>
      <c r="Q183" s="19"/>
      <c r="R183" s="19"/>
      <c r="S183" s="19"/>
      <c r="T183" s="19"/>
      <c r="U183" s="19"/>
      <c r="V183" s="19"/>
      <c r="W183" s="20"/>
      <c r="X183" s="19"/>
      <c r="Y183" s="21"/>
      <c r="Z183" s="21"/>
      <c r="AA183" s="21"/>
      <c r="AB183" s="21"/>
      <c r="AC183" s="20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</row>
    <row r="184" spans="1:44" ht="15.6" x14ac:dyDescent="0.3">
      <c r="A184" s="19"/>
      <c r="B184" s="19"/>
      <c r="C184" s="20"/>
      <c r="D184" s="19"/>
      <c r="E184" s="20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20"/>
      <c r="Q184" s="19"/>
      <c r="R184" s="19"/>
      <c r="S184" s="19"/>
      <c r="T184" s="19"/>
      <c r="U184" s="19"/>
      <c r="V184" s="19"/>
      <c r="W184" s="20"/>
      <c r="X184" s="19"/>
      <c r="Y184" s="21"/>
      <c r="Z184" s="21"/>
      <c r="AA184" s="21"/>
      <c r="AB184" s="21"/>
      <c r="AC184" s="20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</row>
    <row r="185" spans="1:44" ht="15.6" x14ac:dyDescent="0.3">
      <c r="A185" s="19"/>
      <c r="B185" s="19"/>
      <c r="C185" s="20"/>
      <c r="D185" s="19"/>
      <c r="E185" s="20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20"/>
      <c r="Q185" s="19"/>
      <c r="R185" s="19"/>
      <c r="S185" s="19"/>
      <c r="T185" s="19"/>
      <c r="U185" s="19"/>
      <c r="V185" s="19"/>
      <c r="W185" s="20"/>
      <c r="X185" s="19"/>
      <c r="Y185" s="21"/>
      <c r="Z185" s="21"/>
      <c r="AA185" s="21"/>
      <c r="AB185" s="21"/>
      <c r="AC185" s="20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</row>
    <row r="186" spans="1:44" ht="15.6" x14ac:dyDescent="0.3">
      <c r="A186" s="19"/>
      <c r="B186" s="19"/>
      <c r="C186" s="20"/>
      <c r="D186" s="19"/>
      <c r="E186" s="20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20"/>
      <c r="Q186" s="19"/>
      <c r="R186" s="19"/>
      <c r="S186" s="19"/>
      <c r="T186" s="19"/>
      <c r="U186" s="19"/>
      <c r="V186" s="19"/>
      <c r="W186" s="20"/>
      <c r="X186" s="19"/>
      <c r="Y186" s="21"/>
      <c r="Z186" s="21"/>
      <c r="AA186" s="21"/>
      <c r="AB186" s="21"/>
      <c r="AC186" s="20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</row>
    <row r="187" spans="1:44" ht="15.6" x14ac:dyDescent="0.3">
      <c r="A187" s="19"/>
      <c r="B187" s="19"/>
      <c r="C187" s="20"/>
      <c r="D187" s="19"/>
      <c r="E187" s="20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20"/>
      <c r="Q187" s="19"/>
      <c r="R187" s="19"/>
      <c r="S187" s="19"/>
      <c r="T187" s="19"/>
      <c r="U187" s="19"/>
      <c r="V187" s="19"/>
      <c r="W187" s="20"/>
      <c r="X187" s="19"/>
      <c r="Y187" s="21"/>
      <c r="Z187" s="21"/>
      <c r="AA187" s="21"/>
      <c r="AB187" s="21"/>
      <c r="AC187" s="20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</row>
    <row r="188" spans="1:44" ht="15.6" x14ac:dyDescent="0.3">
      <c r="A188" s="19"/>
      <c r="B188" s="19"/>
      <c r="C188" s="20"/>
      <c r="D188" s="19"/>
      <c r="E188" s="20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20"/>
      <c r="Q188" s="19"/>
      <c r="R188" s="19"/>
      <c r="S188" s="19"/>
      <c r="T188" s="19"/>
      <c r="U188" s="19"/>
      <c r="V188" s="19"/>
      <c r="W188" s="20"/>
      <c r="X188" s="19"/>
      <c r="Y188" s="21"/>
      <c r="Z188" s="21"/>
      <c r="AA188" s="21"/>
      <c r="AB188" s="21"/>
      <c r="AC188" s="20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</row>
    <row r="189" spans="1:44" ht="15.6" x14ac:dyDescent="0.3">
      <c r="A189" s="19"/>
      <c r="B189" s="19"/>
      <c r="C189" s="20"/>
      <c r="D189" s="19"/>
      <c r="E189" s="20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20"/>
      <c r="Q189" s="19"/>
      <c r="R189" s="19"/>
      <c r="S189" s="19"/>
      <c r="T189" s="19"/>
      <c r="U189" s="19"/>
      <c r="V189" s="19"/>
      <c r="W189" s="20"/>
      <c r="X189" s="19"/>
      <c r="Y189" s="21"/>
      <c r="Z189" s="21"/>
      <c r="AA189" s="21"/>
      <c r="AB189" s="21"/>
      <c r="AC189" s="20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</row>
    <row r="190" spans="1:44" ht="15.6" x14ac:dyDescent="0.3">
      <c r="A190" s="19"/>
      <c r="B190" s="19"/>
      <c r="C190" s="20"/>
      <c r="D190" s="19"/>
      <c r="E190" s="20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20"/>
      <c r="Q190" s="19"/>
      <c r="R190" s="19"/>
      <c r="S190" s="19"/>
      <c r="T190" s="19"/>
      <c r="U190" s="19"/>
      <c r="V190" s="19"/>
      <c r="W190" s="20"/>
      <c r="X190" s="19"/>
      <c r="Y190" s="21"/>
      <c r="Z190" s="21"/>
      <c r="AA190" s="21"/>
      <c r="AB190" s="21"/>
      <c r="AC190" s="20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</row>
    <row r="191" spans="1:44" ht="15.6" x14ac:dyDescent="0.3">
      <c r="A191" s="19"/>
      <c r="B191" s="19"/>
      <c r="C191" s="20"/>
      <c r="D191" s="19"/>
      <c r="E191" s="20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20"/>
      <c r="Q191" s="19"/>
      <c r="R191" s="19"/>
      <c r="S191" s="19"/>
      <c r="T191" s="19"/>
      <c r="U191" s="19"/>
      <c r="V191" s="19"/>
      <c r="W191" s="20"/>
      <c r="X191" s="19"/>
      <c r="Y191" s="21"/>
      <c r="Z191" s="21"/>
      <c r="AA191" s="21"/>
      <c r="AB191" s="21"/>
      <c r="AC191" s="20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</row>
    <row r="192" spans="1:44" ht="15.6" x14ac:dyDescent="0.3">
      <c r="A192" s="19"/>
      <c r="B192" s="19"/>
      <c r="C192" s="20"/>
      <c r="D192" s="19"/>
      <c r="E192" s="20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20"/>
      <c r="Q192" s="19"/>
      <c r="R192" s="19"/>
      <c r="S192" s="19"/>
      <c r="T192" s="19"/>
      <c r="U192" s="19"/>
      <c r="V192" s="19"/>
      <c r="W192" s="20"/>
      <c r="X192" s="19"/>
      <c r="Y192" s="21"/>
      <c r="Z192" s="21"/>
      <c r="AA192" s="21"/>
      <c r="AB192" s="21"/>
      <c r="AC192" s="20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</row>
    <row r="193" spans="1:44" ht="15.6" x14ac:dyDescent="0.3">
      <c r="A193" s="19"/>
      <c r="B193" s="19"/>
      <c r="C193" s="20"/>
      <c r="D193" s="19"/>
      <c r="E193" s="20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20"/>
      <c r="Q193" s="19"/>
      <c r="R193" s="19"/>
      <c r="S193" s="19"/>
      <c r="T193" s="19"/>
      <c r="U193" s="19"/>
      <c r="V193" s="19"/>
      <c r="W193" s="20"/>
      <c r="X193" s="19"/>
      <c r="Y193" s="21"/>
      <c r="Z193" s="21"/>
      <c r="AA193" s="21"/>
      <c r="AB193" s="21"/>
      <c r="AC193" s="20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</row>
    <row r="194" spans="1:44" ht="15.6" x14ac:dyDescent="0.3">
      <c r="A194" s="19"/>
      <c r="B194" s="19"/>
      <c r="C194" s="20"/>
      <c r="D194" s="19"/>
      <c r="E194" s="20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20"/>
      <c r="Q194" s="19"/>
      <c r="R194" s="19"/>
      <c r="S194" s="19"/>
      <c r="T194" s="19"/>
      <c r="U194" s="19"/>
      <c r="V194" s="19"/>
      <c r="W194" s="20"/>
      <c r="X194" s="19"/>
      <c r="Y194" s="21"/>
      <c r="Z194" s="21"/>
      <c r="AA194" s="21"/>
      <c r="AB194" s="21"/>
      <c r="AC194" s="20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</row>
    <row r="195" spans="1:44" ht="15.6" x14ac:dyDescent="0.3">
      <c r="A195" s="19"/>
      <c r="B195" s="19"/>
      <c r="C195" s="20"/>
      <c r="D195" s="19"/>
      <c r="E195" s="20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20"/>
      <c r="Q195" s="19"/>
      <c r="R195" s="19"/>
      <c r="S195" s="19"/>
      <c r="T195" s="19"/>
      <c r="U195" s="19"/>
      <c r="V195" s="19"/>
      <c r="W195" s="20"/>
      <c r="X195" s="19"/>
      <c r="Y195" s="21"/>
      <c r="Z195" s="21"/>
      <c r="AA195" s="21"/>
      <c r="AB195" s="21"/>
      <c r="AC195" s="20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</row>
    <row r="196" spans="1:44" ht="15.6" x14ac:dyDescent="0.3">
      <c r="A196" s="19"/>
      <c r="B196" s="19"/>
      <c r="C196" s="20"/>
      <c r="D196" s="19"/>
      <c r="E196" s="20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20"/>
      <c r="Q196" s="19"/>
      <c r="R196" s="19"/>
      <c r="S196" s="19"/>
      <c r="T196" s="19"/>
      <c r="U196" s="19"/>
      <c r="V196" s="19"/>
      <c r="W196" s="20"/>
      <c r="X196" s="19"/>
      <c r="Y196" s="21"/>
      <c r="Z196" s="21"/>
      <c r="AA196" s="21"/>
      <c r="AB196" s="21"/>
      <c r="AC196" s="20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</row>
    <row r="197" spans="1:44" ht="15.6" x14ac:dyDescent="0.3">
      <c r="A197" s="19"/>
      <c r="B197" s="19"/>
      <c r="C197" s="20"/>
      <c r="D197" s="19"/>
      <c r="E197" s="20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20"/>
      <c r="Q197" s="19"/>
      <c r="R197" s="19"/>
      <c r="S197" s="19"/>
      <c r="T197" s="19"/>
      <c r="U197" s="19"/>
      <c r="V197" s="19"/>
      <c r="W197" s="20"/>
      <c r="X197" s="19"/>
      <c r="Y197" s="21"/>
      <c r="Z197" s="21"/>
      <c r="AA197" s="21"/>
      <c r="AB197" s="21"/>
      <c r="AC197" s="20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</row>
    <row r="198" spans="1:44" ht="15.6" x14ac:dyDescent="0.3">
      <c r="A198" s="19"/>
      <c r="B198" s="19"/>
      <c r="C198" s="20"/>
      <c r="D198" s="19"/>
      <c r="E198" s="20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20"/>
      <c r="Q198" s="19"/>
      <c r="R198" s="19"/>
      <c r="S198" s="19"/>
      <c r="T198" s="19"/>
      <c r="U198" s="19"/>
      <c r="V198" s="19"/>
      <c r="W198" s="20"/>
      <c r="X198" s="19"/>
      <c r="Y198" s="21"/>
      <c r="Z198" s="21"/>
      <c r="AA198" s="21"/>
      <c r="AB198" s="21"/>
      <c r="AC198" s="20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</row>
    <row r="199" spans="1:44" ht="15.6" x14ac:dyDescent="0.3">
      <c r="A199" s="19"/>
      <c r="B199" s="19"/>
      <c r="C199" s="20"/>
      <c r="D199" s="19"/>
      <c r="E199" s="20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20"/>
      <c r="Q199" s="19"/>
      <c r="R199" s="19"/>
      <c r="S199" s="19"/>
      <c r="T199" s="19"/>
      <c r="U199" s="19"/>
      <c r="V199" s="19"/>
      <c r="W199" s="20"/>
      <c r="X199" s="19"/>
      <c r="Y199" s="21"/>
      <c r="Z199" s="21"/>
      <c r="AA199" s="21"/>
      <c r="AB199" s="21"/>
      <c r="AC199" s="20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</row>
    <row r="200" spans="1:44" ht="15.6" x14ac:dyDescent="0.3">
      <c r="A200" s="19"/>
      <c r="B200" s="19"/>
      <c r="C200" s="20"/>
      <c r="D200" s="19"/>
      <c r="E200" s="20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20"/>
      <c r="Q200" s="19"/>
      <c r="R200" s="19"/>
      <c r="S200" s="19"/>
      <c r="T200" s="19"/>
      <c r="U200" s="19"/>
      <c r="V200" s="19"/>
      <c r="W200" s="20"/>
      <c r="X200" s="19"/>
      <c r="Y200" s="21"/>
      <c r="Z200" s="21"/>
      <c r="AA200" s="21"/>
      <c r="AB200" s="21"/>
      <c r="AC200" s="20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</row>
    <row r="201" spans="1:44" ht="15.6" x14ac:dyDescent="0.3">
      <c r="A201" s="19"/>
      <c r="B201" s="19"/>
      <c r="C201" s="20"/>
      <c r="D201" s="19"/>
      <c r="E201" s="20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20"/>
      <c r="Q201" s="19"/>
      <c r="R201" s="19"/>
      <c r="S201" s="19"/>
      <c r="T201" s="19"/>
      <c r="U201" s="19"/>
      <c r="V201" s="19"/>
      <c r="W201" s="20"/>
      <c r="X201" s="19"/>
      <c r="Y201" s="21"/>
      <c r="Z201" s="21"/>
      <c r="AA201" s="21"/>
      <c r="AB201" s="21"/>
      <c r="AC201" s="20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</row>
    <row r="202" spans="1:44" ht="15.6" x14ac:dyDescent="0.3">
      <c r="A202" s="19"/>
      <c r="B202" s="19"/>
      <c r="C202" s="20"/>
      <c r="D202" s="19"/>
      <c r="E202" s="20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20"/>
      <c r="Q202" s="19"/>
      <c r="R202" s="19"/>
      <c r="S202" s="19"/>
      <c r="T202" s="19"/>
      <c r="U202" s="19"/>
      <c r="V202" s="19"/>
      <c r="W202" s="20"/>
      <c r="X202" s="19"/>
      <c r="Y202" s="21"/>
      <c r="Z202" s="21"/>
      <c r="AA202" s="21"/>
      <c r="AB202" s="21"/>
      <c r="AC202" s="20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</row>
    <row r="203" spans="1:44" ht="15.6" x14ac:dyDescent="0.3">
      <c r="A203" s="19"/>
      <c r="B203" s="19"/>
      <c r="C203" s="20"/>
      <c r="D203" s="19"/>
      <c r="E203" s="20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20"/>
      <c r="Q203" s="19"/>
      <c r="R203" s="19"/>
      <c r="S203" s="19"/>
      <c r="T203" s="19"/>
      <c r="U203" s="19"/>
      <c r="V203" s="19"/>
      <c r="W203" s="20"/>
      <c r="X203" s="19"/>
      <c r="Y203" s="21"/>
      <c r="Z203" s="21"/>
      <c r="AA203" s="21"/>
      <c r="AB203" s="21"/>
      <c r="AC203" s="20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</row>
    <row r="204" spans="1:44" ht="15.6" x14ac:dyDescent="0.3">
      <c r="A204" s="19"/>
      <c r="B204" s="19"/>
      <c r="C204" s="20"/>
      <c r="D204" s="19"/>
      <c r="E204" s="20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20"/>
      <c r="Q204" s="19"/>
      <c r="R204" s="19"/>
      <c r="S204" s="19"/>
      <c r="T204" s="19"/>
      <c r="U204" s="19"/>
      <c r="V204" s="19"/>
      <c r="W204" s="20"/>
      <c r="X204" s="19"/>
      <c r="Y204" s="21"/>
      <c r="Z204" s="21"/>
      <c r="AA204" s="21"/>
      <c r="AB204" s="21"/>
      <c r="AC204" s="20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</row>
    <row r="205" spans="1:44" ht="15.6" x14ac:dyDescent="0.3">
      <c r="A205" s="19"/>
      <c r="B205" s="19"/>
      <c r="C205" s="20"/>
      <c r="D205" s="19"/>
      <c r="E205" s="20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20"/>
      <c r="Q205" s="19"/>
      <c r="R205" s="19"/>
      <c r="S205" s="19"/>
      <c r="T205" s="19"/>
      <c r="U205" s="19"/>
      <c r="V205" s="19"/>
      <c r="W205" s="20"/>
      <c r="X205" s="19"/>
      <c r="Y205" s="21"/>
      <c r="Z205" s="21"/>
      <c r="AA205" s="21"/>
      <c r="AB205" s="21"/>
      <c r="AC205" s="20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</row>
    <row r="206" spans="1:44" ht="15.6" x14ac:dyDescent="0.3">
      <c r="A206" s="19"/>
      <c r="B206" s="19"/>
      <c r="C206" s="20"/>
      <c r="D206" s="19"/>
      <c r="E206" s="20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20"/>
      <c r="Q206" s="19"/>
      <c r="R206" s="19"/>
      <c r="S206" s="19"/>
      <c r="T206" s="19"/>
      <c r="U206" s="19"/>
      <c r="V206" s="19"/>
      <c r="W206" s="20"/>
      <c r="X206" s="19"/>
      <c r="Y206" s="21"/>
      <c r="Z206" s="21"/>
      <c r="AA206" s="21"/>
      <c r="AB206" s="21"/>
      <c r="AC206" s="20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</row>
    <row r="207" spans="1:44" ht="15.6" x14ac:dyDescent="0.3">
      <c r="A207" s="19"/>
      <c r="B207" s="19"/>
      <c r="C207" s="20"/>
      <c r="D207" s="19"/>
      <c r="E207" s="20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20"/>
      <c r="Q207" s="19"/>
      <c r="R207" s="19"/>
      <c r="S207" s="19"/>
      <c r="T207" s="19"/>
      <c r="U207" s="19"/>
      <c r="V207" s="19"/>
      <c r="W207" s="20"/>
      <c r="X207" s="19"/>
      <c r="Y207" s="21"/>
      <c r="Z207" s="21"/>
      <c r="AA207" s="21"/>
      <c r="AB207" s="21"/>
      <c r="AC207" s="20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</row>
    <row r="208" spans="1:44" ht="15.6" x14ac:dyDescent="0.3">
      <c r="A208" s="19"/>
      <c r="B208" s="19"/>
      <c r="C208" s="20"/>
      <c r="D208" s="19"/>
      <c r="E208" s="20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20"/>
      <c r="Q208" s="19"/>
      <c r="R208" s="19"/>
      <c r="S208" s="19"/>
      <c r="T208" s="19"/>
      <c r="U208" s="19"/>
      <c r="V208" s="19"/>
      <c r="W208" s="20"/>
      <c r="X208" s="19"/>
      <c r="Y208" s="21"/>
      <c r="Z208" s="21"/>
      <c r="AA208" s="21"/>
      <c r="AB208" s="21"/>
      <c r="AC208" s="20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</row>
    <row r="209" spans="1:44" ht="15.6" x14ac:dyDescent="0.3">
      <c r="A209" s="19"/>
      <c r="B209" s="19"/>
      <c r="C209" s="20"/>
      <c r="D209" s="19"/>
      <c r="E209" s="20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20"/>
      <c r="Q209" s="19"/>
      <c r="R209" s="19"/>
      <c r="S209" s="19"/>
      <c r="T209" s="19"/>
      <c r="U209" s="19"/>
      <c r="V209" s="19"/>
      <c r="W209" s="20"/>
      <c r="X209" s="19"/>
      <c r="Y209" s="21"/>
      <c r="Z209" s="21"/>
      <c r="AA209" s="21"/>
      <c r="AB209" s="21"/>
      <c r="AC209" s="20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</row>
    <row r="210" spans="1:44" ht="15.6" x14ac:dyDescent="0.3">
      <c r="A210" s="19"/>
      <c r="B210" s="19"/>
      <c r="C210" s="20"/>
      <c r="D210" s="19"/>
      <c r="E210" s="20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20"/>
      <c r="Q210" s="19"/>
      <c r="R210" s="19"/>
      <c r="S210" s="19"/>
      <c r="T210" s="19"/>
      <c r="U210" s="19"/>
      <c r="V210" s="19"/>
      <c r="W210" s="20"/>
      <c r="X210" s="19"/>
      <c r="Y210" s="21"/>
      <c r="Z210" s="21"/>
      <c r="AA210" s="21"/>
      <c r="AB210" s="21"/>
      <c r="AC210" s="20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</row>
    <row r="211" spans="1:44" ht="15.6" x14ac:dyDescent="0.3">
      <c r="A211" s="19"/>
      <c r="B211" s="19"/>
      <c r="C211" s="20"/>
      <c r="D211" s="19"/>
      <c r="E211" s="20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20"/>
      <c r="Q211" s="19"/>
      <c r="R211" s="19"/>
      <c r="S211" s="19"/>
      <c r="T211" s="19"/>
      <c r="U211" s="19"/>
      <c r="V211" s="19"/>
      <c r="W211" s="20"/>
      <c r="X211" s="19"/>
      <c r="Y211" s="21"/>
      <c r="Z211" s="21"/>
      <c r="AA211" s="21"/>
      <c r="AB211" s="21"/>
      <c r="AC211" s="20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</row>
    <row r="212" spans="1:44" ht="15.6" x14ac:dyDescent="0.3">
      <c r="A212" s="19"/>
      <c r="B212" s="19"/>
      <c r="C212" s="20"/>
      <c r="D212" s="19"/>
      <c r="E212" s="20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20"/>
      <c r="Q212" s="19"/>
      <c r="R212" s="19"/>
      <c r="S212" s="19"/>
      <c r="T212" s="19"/>
      <c r="U212" s="19"/>
      <c r="V212" s="19"/>
      <c r="W212" s="20"/>
      <c r="X212" s="19"/>
      <c r="Y212" s="21"/>
      <c r="Z212" s="21"/>
      <c r="AA212" s="21"/>
      <c r="AB212" s="21"/>
      <c r="AC212" s="20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</row>
    <row r="213" spans="1:44" ht="15.6" x14ac:dyDescent="0.3">
      <c r="A213" s="19"/>
      <c r="B213" s="19"/>
      <c r="C213" s="20"/>
      <c r="D213" s="19"/>
      <c r="E213" s="20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20"/>
      <c r="Q213" s="19"/>
      <c r="R213" s="19"/>
      <c r="S213" s="19"/>
      <c r="T213" s="19"/>
      <c r="U213" s="19"/>
      <c r="V213" s="19"/>
      <c r="W213" s="20"/>
      <c r="X213" s="19"/>
      <c r="Y213" s="21"/>
      <c r="Z213" s="21"/>
      <c r="AA213" s="21"/>
      <c r="AB213" s="21"/>
      <c r="AC213" s="20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</row>
    <row r="214" spans="1:44" ht="15.6" x14ac:dyDescent="0.3">
      <c r="A214" s="19"/>
      <c r="B214" s="19"/>
      <c r="C214" s="20"/>
      <c r="D214" s="19"/>
      <c r="E214" s="20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20"/>
      <c r="Q214" s="19"/>
      <c r="R214" s="19"/>
      <c r="S214" s="19"/>
      <c r="T214" s="19"/>
      <c r="U214" s="19"/>
      <c r="V214" s="19"/>
      <c r="W214" s="20"/>
      <c r="X214" s="19"/>
      <c r="Y214" s="21"/>
      <c r="Z214" s="21"/>
      <c r="AA214" s="21"/>
      <c r="AB214" s="21"/>
      <c r="AC214" s="20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</row>
    <row r="215" spans="1:44" ht="15.6" x14ac:dyDescent="0.3">
      <c r="A215" s="19"/>
      <c r="B215" s="19"/>
      <c r="C215" s="20"/>
      <c r="D215" s="19"/>
      <c r="E215" s="20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20"/>
      <c r="Q215" s="19"/>
      <c r="R215" s="19"/>
      <c r="S215" s="19"/>
      <c r="T215" s="19"/>
      <c r="U215" s="19"/>
      <c r="V215" s="19"/>
      <c r="W215" s="20"/>
      <c r="X215" s="19"/>
      <c r="Y215" s="21"/>
      <c r="Z215" s="21"/>
      <c r="AA215" s="21"/>
      <c r="AB215" s="21"/>
      <c r="AC215" s="20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</row>
    <row r="216" spans="1:44" ht="15.6" x14ac:dyDescent="0.3">
      <c r="A216" s="19"/>
      <c r="B216" s="19"/>
      <c r="C216" s="20"/>
      <c r="D216" s="19"/>
      <c r="E216" s="20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20"/>
      <c r="Q216" s="19"/>
      <c r="R216" s="19"/>
      <c r="S216" s="19"/>
      <c r="T216" s="19"/>
      <c r="U216" s="19"/>
      <c r="V216" s="19"/>
      <c r="W216" s="20"/>
      <c r="X216" s="19"/>
      <c r="Y216" s="21"/>
      <c r="Z216" s="21"/>
      <c r="AA216" s="21"/>
      <c r="AB216" s="21"/>
      <c r="AC216" s="20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</row>
    <row r="217" spans="1:44" ht="15.6" x14ac:dyDescent="0.3">
      <c r="A217" s="19"/>
      <c r="B217" s="19"/>
      <c r="C217" s="20"/>
      <c r="D217" s="19"/>
      <c r="E217" s="20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20"/>
      <c r="Q217" s="19"/>
      <c r="R217" s="19"/>
      <c r="S217" s="19"/>
      <c r="T217" s="19"/>
      <c r="U217" s="19"/>
      <c r="V217" s="19"/>
      <c r="W217" s="20"/>
      <c r="X217" s="19"/>
      <c r="Y217" s="21"/>
      <c r="Z217" s="21"/>
      <c r="AA217" s="21"/>
      <c r="AB217" s="21"/>
      <c r="AC217" s="20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</row>
    <row r="218" spans="1:44" ht="15.6" x14ac:dyDescent="0.3">
      <c r="A218" s="19"/>
      <c r="B218" s="19"/>
      <c r="C218" s="20"/>
      <c r="D218" s="19"/>
      <c r="E218" s="20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20"/>
      <c r="Q218" s="19"/>
      <c r="R218" s="19"/>
      <c r="S218" s="19"/>
      <c r="T218" s="19"/>
      <c r="U218" s="19"/>
      <c r="V218" s="19"/>
      <c r="W218" s="20"/>
      <c r="X218" s="19"/>
      <c r="Y218" s="21"/>
      <c r="Z218" s="21"/>
      <c r="AA218" s="21"/>
      <c r="AB218" s="21"/>
      <c r="AC218" s="20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</row>
    <row r="219" spans="1:44" ht="15.6" x14ac:dyDescent="0.3">
      <c r="A219" s="19"/>
      <c r="B219" s="19"/>
      <c r="C219" s="20"/>
      <c r="D219" s="19"/>
      <c r="E219" s="20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20"/>
      <c r="Q219" s="19"/>
      <c r="R219" s="19"/>
      <c r="S219" s="19"/>
      <c r="T219" s="19"/>
      <c r="U219" s="19"/>
      <c r="V219" s="19"/>
      <c r="W219" s="20"/>
      <c r="X219" s="19"/>
      <c r="Y219" s="21"/>
      <c r="Z219" s="21"/>
      <c r="AA219" s="21"/>
      <c r="AB219" s="21"/>
      <c r="AC219" s="20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</row>
    <row r="220" spans="1:44" ht="15.6" x14ac:dyDescent="0.3">
      <c r="A220" s="19"/>
      <c r="B220" s="19"/>
      <c r="C220" s="20"/>
      <c r="D220" s="19"/>
      <c r="E220" s="20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20"/>
      <c r="Q220" s="19"/>
      <c r="R220" s="19"/>
      <c r="S220" s="19"/>
      <c r="T220" s="19"/>
      <c r="U220" s="19"/>
      <c r="V220" s="19"/>
      <c r="W220" s="20"/>
      <c r="X220" s="19"/>
      <c r="Y220" s="21"/>
      <c r="Z220" s="21"/>
      <c r="AA220" s="21"/>
      <c r="AB220" s="21"/>
      <c r="AC220" s="20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</row>
    <row r="221" spans="1:44" ht="15.6" x14ac:dyDescent="0.3">
      <c r="A221" s="19"/>
      <c r="B221" s="19"/>
      <c r="C221" s="20"/>
      <c r="D221" s="19"/>
      <c r="E221" s="20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20"/>
      <c r="Q221" s="19"/>
      <c r="R221" s="19"/>
      <c r="S221" s="19"/>
      <c r="T221" s="19"/>
      <c r="U221" s="19"/>
      <c r="V221" s="19"/>
      <c r="W221" s="20"/>
      <c r="X221" s="19"/>
      <c r="Y221" s="21"/>
      <c r="Z221" s="21"/>
      <c r="AA221" s="21"/>
      <c r="AB221" s="21"/>
      <c r="AC221" s="20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</row>
    <row r="222" spans="1:44" ht="15.6" x14ac:dyDescent="0.3">
      <c r="A222" s="19"/>
      <c r="B222" s="19"/>
      <c r="C222" s="20"/>
      <c r="D222" s="19"/>
      <c r="E222" s="20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20"/>
      <c r="Q222" s="19"/>
      <c r="R222" s="19"/>
      <c r="S222" s="19"/>
      <c r="T222" s="19"/>
      <c r="U222" s="19"/>
      <c r="V222" s="19"/>
      <c r="W222" s="20"/>
      <c r="X222" s="19"/>
      <c r="Y222" s="21"/>
      <c r="Z222" s="21"/>
      <c r="AA222" s="21"/>
      <c r="AB222" s="21"/>
      <c r="AC222" s="20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</row>
    <row r="223" spans="1:44" ht="15.6" x14ac:dyDescent="0.3">
      <c r="A223" s="19"/>
      <c r="B223" s="19"/>
      <c r="C223" s="20"/>
      <c r="D223" s="19"/>
      <c r="E223" s="20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20"/>
      <c r="Q223" s="19"/>
      <c r="R223" s="19"/>
      <c r="S223" s="19"/>
      <c r="T223" s="19"/>
      <c r="U223" s="19"/>
      <c r="V223" s="19"/>
      <c r="W223" s="20"/>
      <c r="X223" s="19"/>
      <c r="Y223" s="21"/>
      <c r="Z223" s="21"/>
      <c r="AA223" s="21"/>
      <c r="AB223" s="21"/>
      <c r="AC223" s="20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</row>
    <row r="224" spans="1:44" ht="15.6" x14ac:dyDescent="0.3">
      <c r="A224" s="19"/>
      <c r="B224" s="19"/>
      <c r="C224" s="20"/>
      <c r="D224" s="19"/>
      <c r="E224" s="20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20"/>
      <c r="Q224" s="19"/>
      <c r="R224" s="19"/>
      <c r="S224" s="19"/>
      <c r="T224" s="19"/>
      <c r="U224" s="19"/>
      <c r="V224" s="19"/>
      <c r="W224" s="20"/>
      <c r="X224" s="19"/>
      <c r="Y224" s="21"/>
      <c r="Z224" s="21"/>
      <c r="AA224" s="21"/>
      <c r="AB224" s="21"/>
      <c r="AC224" s="20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</row>
    <row r="225" spans="1:44" ht="15.6" x14ac:dyDescent="0.3">
      <c r="A225" s="19"/>
      <c r="B225" s="19"/>
      <c r="C225" s="20"/>
      <c r="D225" s="19"/>
      <c r="E225" s="20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20"/>
      <c r="Q225" s="19"/>
      <c r="R225" s="19"/>
      <c r="S225" s="19"/>
      <c r="T225" s="19"/>
      <c r="U225" s="19"/>
      <c r="V225" s="19"/>
      <c r="W225" s="20"/>
      <c r="X225" s="19"/>
      <c r="Y225" s="21"/>
      <c r="Z225" s="21"/>
      <c r="AA225" s="21"/>
      <c r="AB225" s="21"/>
      <c r="AC225" s="20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</row>
    <row r="226" spans="1:44" ht="15.6" x14ac:dyDescent="0.3">
      <c r="A226" s="19"/>
      <c r="B226" s="19"/>
      <c r="C226" s="20"/>
      <c r="D226" s="19"/>
      <c r="E226" s="20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20"/>
      <c r="Q226" s="19"/>
      <c r="R226" s="19"/>
      <c r="S226" s="19"/>
      <c r="T226" s="19"/>
      <c r="U226" s="19"/>
      <c r="V226" s="19"/>
      <c r="W226" s="20"/>
      <c r="X226" s="19"/>
      <c r="Y226" s="21"/>
      <c r="Z226" s="21"/>
      <c r="AA226" s="21"/>
      <c r="AB226" s="21"/>
      <c r="AC226" s="20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</row>
    <row r="227" spans="1:44" ht="15.6" x14ac:dyDescent="0.3">
      <c r="A227" s="19"/>
      <c r="B227" s="19"/>
      <c r="C227" s="20"/>
      <c r="D227" s="19"/>
      <c r="E227" s="20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20"/>
      <c r="Q227" s="19"/>
      <c r="R227" s="19"/>
      <c r="S227" s="19"/>
      <c r="T227" s="19"/>
      <c r="U227" s="19"/>
      <c r="V227" s="19"/>
      <c r="W227" s="20"/>
      <c r="X227" s="19"/>
      <c r="Y227" s="21"/>
      <c r="Z227" s="21"/>
      <c r="AA227" s="21"/>
      <c r="AB227" s="21"/>
      <c r="AC227" s="20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</row>
    <row r="228" spans="1:44" ht="15.6" x14ac:dyDescent="0.3">
      <c r="A228" s="19"/>
      <c r="B228" s="19"/>
      <c r="C228" s="20"/>
      <c r="D228" s="19"/>
      <c r="E228" s="20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20"/>
      <c r="Q228" s="19"/>
      <c r="R228" s="19"/>
      <c r="S228" s="19"/>
      <c r="T228" s="19"/>
      <c r="U228" s="19"/>
      <c r="V228" s="19"/>
      <c r="W228" s="20"/>
      <c r="X228" s="19"/>
      <c r="Y228" s="21"/>
      <c r="Z228" s="21"/>
      <c r="AA228" s="21"/>
      <c r="AB228" s="21"/>
      <c r="AC228" s="20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</row>
    <row r="229" spans="1:44" ht="15.6" x14ac:dyDescent="0.3">
      <c r="A229" s="19"/>
      <c r="B229" s="19"/>
      <c r="C229" s="20"/>
      <c r="D229" s="19"/>
      <c r="E229" s="20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20"/>
      <c r="Q229" s="19"/>
      <c r="R229" s="19"/>
      <c r="S229" s="19"/>
      <c r="T229" s="19"/>
      <c r="U229" s="19"/>
      <c r="V229" s="19"/>
      <c r="W229" s="20"/>
      <c r="X229" s="19"/>
      <c r="Y229" s="21"/>
      <c r="Z229" s="21"/>
      <c r="AA229" s="21"/>
      <c r="AB229" s="21"/>
      <c r="AC229" s="20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</row>
    <row r="230" spans="1:44" ht="15.6" x14ac:dyDescent="0.3">
      <c r="A230" s="19"/>
      <c r="B230" s="19"/>
      <c r="C230" s="20"/>
      <c r="D230" s="19"/>
      <c r="E230" s="20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20"/>
      <c r="Q230" s="19"/>
      <c r="R230" s="19"/>
      <c r="S230" s="19"/>
      <c r="T230" s="19"/>
      <c r="U230" s="19"/>
      <c r="V230" s="19"/>
      <c r="W230" s="20"/>
      <c r="X230" s="19"/>
      <c r="Y230" s="21"/>
      <c r="Z230" s="21"/>
      <c r="AA230" s="21"/>
      <c r="AB230" s="21"/>
      <c r="AC230" s="20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</row>
    <row r="231" spans="1:44" ht="15.6" x14ac:dyDescent="0.3">
      <c r="A231" s="19"/>
      <c r="B231" s="19"/>
      <c r="C231" s="20"/>
      <c r="D231" s="19"/>
      <c r="E231" s="20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20"/>
      <c r="Q231" s="19"/>
      <c r="R231" s="19"/>
      <c r="S231" s="19"/>
      <c r="T231" s="19"/>
      <c r="U231" s="19"/>
      <c r="V231" s="19"/>
      <c r="W231" s="20"/>
      <c r="X231" s="19"/>
      <c r="Y231" s="21"/>
      <c r="Z231" s="21"/>
      <c r="AA231" s="21"/>
      <c r="AB231" s="21"/>
      <c r="AC231" s="20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</row>
    <row r="232" spans="1:44" ht="15.6" x14ac:dyDescent="0.3">
      <c r="A232" s="19"/>
      <c r="B232" s="19"/>
      <c r="C232" s="20"/>
      <c r="D232" s="19"/>
      <c r="E232" s="20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20"/>
      <c r="Q232" s="19"/>
      <c r="R232" s="19"/>
      <c r="S232" s="19"/>
      <c r="T232" s="19"/>
      <c r="U232" s="19"/>
      <c r="V232" s="19"/>
      <c r="W232" s="20"/>
      <c r="X232" s="19"/>
      <c r="Y232" s="21"/>
      <c r="Z232" s="21"/>
      <c r="AA232" s="21"/>
      <c r="AB232" s="21"/>
      <c r="AC232" s="20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</row>
    <row r="233" spans="1:44" ht="15.6" x14ac:dyDescent="0.3">
      <c r="A233" s="19"/>
      <c r="B233" s="19"/>
      <c r="C233" s="20"/>
      <c r="D233" s="19"/>
      <c r="E233" s="20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20"/>
      <c r="Q233" s="19"/>
      <c r="R233" s="19"/>
      <c r="S233" s="19"/>
      <c r="T233" s="19"/>
      <c r="U233" s="19"/>
      <c r="V233" s="19"/>
      <c r="W233" s="20"/>
      <c r="X233" s="19"/>
      <c r="Y233" s="21"/>
      <c r="Z233" s="21"/>
      <c r="AA233" s="21"/>
      <c r="AB233" s="21"/>
      <c r="AC233" s="20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</row>
    <row r="234" spans="1:44" ht="15.6" x14ac:dyDescent="0.3">
      <c r="A234" s="19"/>
      <c r="B234" s="19"/>
      <c r="C234" s="20"/>
      <c r="D234" s="19"/>
      <c r="E234" s="20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20"/>
      <c r="Q234" s="19"/>
      <c r="R234" s="19"/>
      <c r="S234" s="19"/>
      <c r="T234" s="19"/>
      <c r="U234" s="19"/>
      <c r="V234" s="19"/>
      <c r="W234" s="20"/>
      <c r="X234" s="19"/>
      <c r="Y234" s="21"/>
      <c r="Z234" s="21"/>
      <c r="AA234" s="21"/>
      <c r="AB234" s="21"/>
      <c r="AC234" s="20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</row>
    <row r="235" spans="1:44" ht="15.6" x14ac:dyDescent="0.3">
      <c r="A235" s="19"/>
      <c r="B235" s="19"/>
      <c r="C235" s="20"/>
      <c r="D235" s="19"/>
      <c r="E235" s="20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20"/>
      <c r="Q235" s="19"/>
      <c r="R235" s="19"/>
      <c r="S235" s="19"/>
      <c r="T235" s="19"/>
      <c r="U235" s="19"/>
      <c r="V235" s="19"/>
      <c r="W235" s="20"/>
      <c r="X235" s="19"/>
      <c r="Y235" s="21"/>
      <c r="Z235" s="21"/>
      <c r="AA235" s="21"/>
      <c r="AB235" s="21"/>
      <c r="AC235" s="20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</row>
    <row r="236" spans="1:44" ht="15.6" x14ac:dyDescent="0.3">
      <c r="A236" s="19"/>
      <c r="B236" s="19"/>
      <c r="C236" s="20"/>
      <c r="D236" s="19"/>
      <c r="E236" s="20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20"/>
      <c r="Q236" s="19"/>
      <c r="R236" s="19"/>
      <c r="S236" s="19"/>
      <c r="T236" s="19"/>
      <c r="U236" s="19"/>
      <c r="V236" s="19"/>
      <c r="W236" s="20"/>
      <c r="X236" s="19"/>
      <c r="Y236" s="21"/>
      <c r="Z236" s="21"/>
      <c r="AA236" s="21"/>
      <c r="AB236" s="21"/>
      <c r="AC236" s="20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</row>
    <row r="237" spans="1:44" ht="15.6" x14ac:dyDescent="0.3">
      <c r="A237" s="19"/>
      <c r="B237" s="19"/>
      <c r="C237" s="20"/>
      <c r="D237" s="19"/>
      <c r="E237" s="20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20"/>
      <c r="Q237" s="19"/>
      <c r="R237" s="19"/>
      <c r="S237" s="19"/>
      <c r="T237" s="19"/>
      <c r="U237" s="19"/>
      <c r="V237" s="19"/>
      <c r="W237" s="20"/>
      <c r="X237" s="19"/>
      <c r="Y237" s="21"/>
      <c r="Z237" s="21"/>
      <c r="AA237" s="21"/>
      <c r="AB237" s="21"/>
      <c r="AC237" s="20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</row>
    <row r="238" spans="1:44" ht="15.6" x14ac:dyDescent="0.3">
      <c r="A238" s="19"/>
      <c r="B238" s="19"/>
      <c r="C238" s="20"/>
      <c r="D238" s="19"/>
      <c r="E238" s="20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20"/>
      <c r="Q238" s="19"/>
      <c r="R238" s="19"/>
      <c r="S238" s="19"/>
      <c r="T238" s="19"/>
      <c r="U238" s="19"/>
      <c r="V238" s="19"/>
      <c r="W238" s="20"/>
      <c r="X238" s="19"/>
      <c r="Y238" s="21"/>
      <c r="Z238" s="21"/>
      <c r="AA238" s="21"/>
      <c r="AB238" s="21"/>
      <c r="AC238" s="20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</row>
    <row r="239" spans="1:44" ht="15.6" x14ac:dyDescent="0.3">
      <c r="A239" s="19"/>
      <c r="B239" s="19"/>
      <c r="C239" s="20"/>
      <c r="D239" s="19"/>
      <c r="E239" s="20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20"/>
      <c r="Q239" s="19"/>
      <c r="R239" s="19"/>
      <c r="S239" s="19"/>
      <c r="T239" s="19"/>
      <c r="U239" s="19"/>
      <c r="V239" s="19"/>
      <c r="W239" s="20"/>
      <c r="X239" s="19"/>
      <c r="Y239" s="21"/>
      <c r="Z239" s="21"/>
      <c r="AA239" s="21"/>
      <c r="AB239" s="21"/>
      <c r="AC239" s="20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</row>
    <row r="240" spans="1:44" ht="15.6" x14ac:dyDescent="0.3">
      <c r="A240" s="19"/>
      <c r="B240" s="19"/>
      <c r="C240" s="20"/>
      <c r="D240" s="19"/>
      <c r="E240" s="20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20"/>
      <c r="Q240" s="19"/>
      <c r="R240" s="19"/>
      <c r="S240" s="19"/>
      <c r="T240" s="19"/>
      <c r="U240" s="19"/>
      <c r="V240" s="19"/>
      <c r="W240" s="20"/>
      <c r="X240" s="19"/>
      <c r="Y240" s="21"/>
      <c r="Z240" s="21"/>
      <c r="AA240" s="21"/>
      <c r="AB240" s="21"/>
      <c r="AC240" s="20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</row>
    <row r="241" spans="1:44" ht="15.6" x14ac:dyDescent="0.3">
      <c r="A241" s="19"/>
      <c r="B241" s="19"/>
      <c r="C241" s="20"/>
      <c r="D241" s="19"/>
      <c r="E241" s="20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20"/>
      <c r="Q241" s="19"/>
      <c r="R241" s="19"/>
      <c r="S241" s="19"/>
      <c r="T241" s="19"/>
      <c r="U241" s="19"/>
      <c r="V241" s="19"/>
      <c r="W241" s="20"/>
      <c r="X241" s="19"/>
      <c r="Y241" s="21"/>
      <c r="Z241" s="21"/>
      <c r="AA241" s="21"/>
      <c r="AB241" s="21"/>
      <c r="AC241" s="20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</row>
    <row r="242" spans="1:44" ht="15.6" x14ac:dyDescent="0.3">
      <c r="A242" s="19"/>
      <c r="B242" s="19"/>
      <c r="C242" s="20"/>
      <c r="D242" s="19"/>
      <c r="E242" s="20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20"/>
      <c r="Q242" s="19"/>
      <c r="R242" s="19"/>
      <c r="S242" s="19"/>
      <c r="T242" s="19"/>
      <c r="U242" s="19"/>
      <c r="V242" s="19"/>
      <c r="W242" s="20"/>
      <c r="X242" s="19"/>
      <c r="Y242" s="21"/>
      <c r="Z242" s="21"/>
      <c r="AA242" s="21"/>
      <c r="AB242" s="21"/>
      <c r="AC242" s="20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</row>
    <row r="243" spans="1:44" ht="15.6" x14ac:dyDescent="0.3">
      <c r="A243" s="19"/>
      <c r="B243" s="19"/>
      <c r="C243" s="20"/>
      <c r="D243" s="19"/>
      <c r="E243" s="20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20"/>
      <c r="Q243" s="19"/>
      <c r="R243" s="19"/>
      <c r="S243" s="19"/>
      <c r="T243" s="19"/>
      <c r="U243" s="19"/>
      <c r="V243" s="19"/>
      <c r="W243" s="20"/>
      <c r="X243" s="19"/>
      <c r="Y243" s="21"/>
      <c r="Z243" s="21"/>
      <c r="AA243" s="21"/>
      <c r="AB243" s="21"/>
      <c r="AC243" s="20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</row>
    <row r="244" spans="1:44" ht="15.6" x14ac:dyDescent="0.3">
      <c r="A244" s="19"/>
      <c r="B244" s="19"/>
      <c r="C244" s="20"/>
      <c r="D244" s="19"/>
      <c r="E244" s="20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20"/>
      <c r="Q244" s="19"/>
      <c r="R244" s="19"/>
      <c r="S244" s="19"/>
      <c r="T244" s="19"/>
      <c r="U244" s="19"/>
      <c r="V244" s="19"/>
      <c r="W244" s="20"/>
      <c r="X244" s="19"/>
      <c r="Y244" s="21"/>
      <c r="Z244" s="21"/>
      <c r="AA244" s="21"/>
      <c r="AB244" s="21"/>
      <c r="AC244" s="20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</row>
    <row r="245" spans="1:44" ht="15.6" x14ac:dyDescent="0.3">
      <c r="A245" s="19"/>
      <c r="B245" s="19"/>
      <c r="C245" s="20"/>
      <c r="D245" s="19"/>
      <c r="E245" s="20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20"/>
      <c r="Q245" s="19"/>
      <c r="R245" s="19"/>
      <c r="S245" s="19"/>
      <c r="T245" s="19"/>
      <c r="U245" s="19"/>
      <c r="V245" s="19"/>
      <c r="W245" s="20"/>
      <c r="X245" s="19"/>
      <c r="Y245" s="21"/>
      <c r="Z245" s="21"/>
      <c r="AA245" s="21"/>
      <c r="AB245" s="21"/>
      <c r="AC245" s="20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</row>
    <row r="246" spans="1:44" ht="15.6" x14ac:dyDescent="0.3">
      <c r="A246" s="19"/>
      <c r="B246" s="19"/>
      <c r="C246" s="20"/>
      <c r="D246" s="19"/>
      <c r="E246" s="20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20"/>
      <c r="Q246" s="19"/>
      <c r="R246" s="19"/>
      <c r="S246" s="19"/>
      <c r="T246" s="19"/>
      <c r="U246" s="19"/>
      <c r="V246" s="19"/>
      <c r="W246" s="20"/>
      <c r="X246" s="19"/>
      <c r="Y246" s="21"/>
      <c r="Z246" s="21"/>
      <c r="AA246" s="21"/>
      <c r="AB246" s="21"/>
      <c r="AC246" s="20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</row>
    <row r="247" spans="1:44" ht="15.6" x14ac:dyDescent="0.3">
      <c r="A247" s="19"/>
      <c r="B247" s="19"/>
      <c r="C247" s="20"/>
      <c r="D247" s="19"/>
      <c r="E247" s="20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20"/>
      <c r="Q247" s="19"/>
      <c r="R247" s="19"/>
      <c r="S247" s="19"/>
      <c r="T247" s="19"/>
      <c r="U247" s="19"/>
      <c r="V247" s="19"/>
      <c r="W247" s="20"/>
      <c r="X247" s="19"/>
      <c r="Y247" s="21"/>
      <c r="Z247" s="21"/>
      <c r="AA247" s="21"/>
      <c r="AB247" s="21"/>
      <c r="AC247" s="20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</row>
    <row r="248" spans="1:44" ht="15.6" x14ac:dyDescent="0.3">
      <c r="A248" s="19"/>
      <c r="B248" s="19"/>
      <c r="C248" s="20"/>
      <c r="D248" s="19"/>
      <c r="E248" s="20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20"/>
      <c r="Q248" s="19"/>
      <c r="R248" s="19"/>
      <c r="S248" s="19"/>
      <c r="T248" s="19"/>
      <c r="U248" s="19"/>
      <c r="V248" s="19"/>
      <c r="W248" s="20"/>
      <c r="X248" s="19"/>
      <c r="Y248" s="21"/>
      <c r="Z248" s="21"/>
      <c r="AA248" s="21"/>
      <c r="AB248" s="21"/>
      <c r="AC248" s="20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</row>
    <row r="249" spans="1:44" ht="15.6" x14ac:dyDescent="0.3">
      <c r="A249" s="19"/>
      <c r="B249" s="19"/>
      <c r="C249" s="20"/>
      <c r="D249" s="19"/>
      <c r="E249" s="20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20"/>
      <c r="Q249" s="19"/>
      <c r="R249" s="19"/>
      <c r="S249" s="19"/>
      <c r="T249" s="19"/>
      <c r="U249" s="19"/>
      <c r="V249" s="19"/>
      <c r="W249" s="20"/>
      <c r="X249" s="19"/>
      <c r="Y249" s="21"/>
      <c r="Z249" s="21"/>
      <c r="AA249" s="21"/>
      <c r="AB249" s="21"/>
      <c r="AC249" s="20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</row>
    <row r="250" spans="1:44" ht="15.6" x14ac:dyDescent="0.3">
      <c r="A250" s="19"/>
      <c r="B250" s="19"/>
      <c r="C250" s="20"/>
      <c r="D250" s="19"/>
      <c r="E250" s="20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20"/>
      <c r="Q250" s="19"/>
      <c r="R250" s="19"/>
      <c r="S250" s="19"/>
      <c r="T250" s="19"/>
      <c r="U250" s="19"/>
      <c r="V250" s="19"/>
      <c r="W250" s="20"/>
      <c r="X250" s="19"/>
      <c r="Y250" s="21"/>
      <c r="Z250" s="21"/>
      <c r="AA250" s="21"/>
      <c r="AB250" s="21"/>
      <c r="AC250" s="20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</row>
    <row r="251" spans="1:44" ht="15.6" x14ac:dyDescent="0.3">
      <c r="A251" s="19"/>
      <c r="B251" s="19"/>
      <c r="C251" s="20"/>
      <c r="D251" s="19"/>
      <c r="E251" s="20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20"/>
      <c r="Q251" s="19"/>
      <c r="R251" s="19"/>
      <c r="S251" s="19"/>
      <c r="T251" s="19"/>
      <c r="U251" s="19"/>
      <c r="V251" s="19"/>
      <c r="W251" s="20"/>
      <c r="X251" s="19"/>
      <c r="Y251" s="21"/>
      <c r="Z251" s="21"/>
      <c r="AA251" s="21"/>
      <c r="AB251" s="21"/>
      <c r="AC251" s="20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</row>
    <row r="252" spans="1:44" ht="15.6" x14ac:dyDescent="0.3">
      <c r="A252" s="19"/>
      <c r="B252" s="19"/>
      <c r="C252" s="20"/>
      <c r="D252" s="19"/>
      <c r="E252" s="20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20"/>
      <c r="Q252" s="19"/>
      <c r="R252" s="19"/>
      <c r="S252" s="19"/>
      <c r="T252" s="19"/>
      <c r="U252" s="19"/>
      <c r="V252" s="19"/>
      <c r="W252" s="20"/>
      <c r="X252" s="19"/>
      <c r="Y252" s="21"/>
      <c r="Z252" s="21"/>
      <c r="AA252" s="21"/>
      <c r="AB252" s="21"/>
      <c r="AC252" s="20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</row>
    <row r="253" spans="1:44" ht="15.6" x14ac:dyDescent="0.3">
      <c r="A253" s="19"/>
      <c r="B253" s="19"/>
      <c r="C253" s="20"/>
      <c r="D253" s="19"/>
      <c r="E253" s="20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20"/>
      <c r="Q253" s="19"/>
      <c r="R253" s="19"/>
      <c r="S253" s="19"/>
      <c r="T253" s="19"/>
      <c r="U253" s="19"/>
      <c r="V253" s="19"/>
      <c r="W253" s="20"/>
      <c r="X253" s="19"/>
      <c r="Y253" s="21"/>
      <c r="Z253" s="21"/>
      <c r="AA253" s="21"/>
      <c r="AB253" s="21"/>
      <c r="AC253" s="20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</row>
    <row r="254" spans="1:44" ht="15.6" x14ac:dyDescent="0.3">
      <c r="A254" s="19"/>
      <c r="B254" s="19"/>
      <c r="C254" s="20"/>
      <c r="D254" s="19"/>
      <c r="E254" s="20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20"/>
      <c r="Q254" s="19"/>
      <c r="R254" s="19"/>
      <c r="S254" s="19"/>
      <c r="T254" s="19"/>
      <c r="U254" s="19"/>
      <c r="V254" s="19"/>
      <c r="W254" s="20"/>
      <c r="X254" s="19"/>
      <c r="Y254" s="21"/>
      <c r="Z254" s="21"/>
      <c r="AA254" s="21"/>
      <c r="AB254" s="21"/>
      <c r="AC254" s="20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</row>
    <row r="255" spans="1:44" ht="15.6" x14ac:dyDescent="0.3">
      <c r="A255" s="19"/>
      <c r="B255" s="19"/>
      <c r="C255" s="20"/>
      <c r="D255" s="19"/>
      <c r="E255" s="20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20"/>
      <c r="Q255" s="19"/>
      <c r="R255" s="19"/>
      <c r="S255" s="19"/>
      <c r="T255" s="19"/>
      <c r="U255" s="19"/>
      <c r="V255" s="19"/>
      <c r="W255" s="20"/>
      <c r="X255" s="19"/>
      <c r="Y255" s="21"/>
      <c r="Z255" s="21"/>
      <c r="AA255" s="21"/>
      <c r="AB255" s="21"/>
      <c r="AC255" s="20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</row>
    <row r="256" spans="1:44" ht="15.6" x14ac:dyDescent="0.3">
      <c r="A256" s="19"/>
      <c r="B256" s="19"/>
      <c r="C256" s="20"/>
      <c r="D256" s="19"/>
      <c r="E256" s="20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20"/>
      <c r="Q256" s="19"/>
      <c r="R256" s="19"/>
      <c r="S256" s="19"/>
      <c r="T256" s="19"/>
      <c r="U256" s="19"/>
      <c r="V256" s="19"/>
      <c r="W256" s="20"/>
      <c r="X256" s="19"/>
      <c r="Y256" s="21"/>
      <c r="Z256" s="21"/>
      <c r="AA256" s="21"/>
      <c r="AB256" s="21"/>
      <c r="AC256" s="20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</row>
    <row r="257" spans="1:44" ht="15.6" x14ac:dyDescent="0.3">
      <c r="A257" s="19"/>
      <c r="B257" s="19"/>
      <c r="C257" s="20"/>
      <c r="D257" s="19"/>
      <c r="E257" s="20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20"/>
      <c r="Q257" s="19"/>
      <c r="R257" s="19"/>
      <c r="S257" s="19"/>
      <c r="T257" s="19"/>
      <c r="U257" s="19"/>
      <c r="V257" s="19"/>
      <c r="W257" s="20"/>
      <c r="X257" s="19"/>
      <c r="Y257" s="21"/>
      <c r="Z257" s="21"/>
      <c r="AA257" s="21"/>
      <c r="AB257" s="21"/>
      <c r="AC257" s="20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</row>
    <row r="258" spans="1:44" ht="15.6" x14ac:dyDescent="0.3">
      <c r="A258" s="19"/>
      <c r="B258" s="19"/>
      <c r="C258" s="20"/>
      <c r="D258" s="19"/>
      <c r="E258" s="20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20"/>
      <c r="Q258" s="19"/>
      <c r="R258" s="19"/>
      <c r="S258" s="19"/>
      <c r="T258" s="19"/>
      <c r="U258" s="19"/>
      <c r="V258" s="19"/>
      <c r="W258" s="20"/>
      <c r="X258" s="19"/>
      <c r="Y258" s="21"/>
      <c r="Z258" s="21"/>
      <c r="AA258" s="21"/>
      <c r="AB258" s="21"/>
      <c r="AC258" s="20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</row>
    <row r="259" spans="1:44" ht="15.6" x14ac:dyDescent="0.3">
      <c r="A259" s="19"/>
      <c r="B259" s="19"/>
      <c r="C259" s="20"/>
      <c r="D259" s="19"/>
      <c r="E259" s="20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20"/>
      <c r="Q259" s="19"/>
      <c r="R259" s="19"/>
      <c r="S259" s="19"/>
      <c r="T259" s="19"/>
      <c r="U259" s="19"/>
      <c r="V259" s="19"/>
      <c r="W259" s="20"/>
      <c r="X259" s="19"/>
      <c r="Y259" s="21"/>
      <c r="Z259" s="21"/>
      <c r="AA259" s="21"/>
      <c r="AB259" s="21"/>
      <c r="AC259" s="20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</row>
    <row r="260" spans="1:44" ht="15.6" x14ac:dyDescent="0.3">
      <c r="A260" s="19"/>
      <c r="B260" s="19"/>
      <c r="C260" s="20"/>
      <c r="D260" s="19"/>
      <c r="E260" s="20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20"/>
      <c r="Q260" s="19"/>
      <c r="R260" s="19"/>
      <c r="S260" s="19"/>
      <c r="T260" s="19"/>
      <c r="U260" s="19"/>
      <c r="V260" s="19"/>
      <c r="W260" s="20"/>
      <c r="X260" s="19"/>
      <c r="Y260" s="21"/>
      <c r="Z260" s="21"/>
      <c r="AA260" s="21"/>
      <c r="AB260" s="21"/>
      <c r="AC260" s="20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</row>
    <row r="261" spans="1:44" ht="15.6" x14ac:dyDescent="0.3">
      <c r="A261" s="19"/>
      <c r="B261" s="19"/>
      <c r="C261" s="20"/>
      <c r="D261" s="19"/>
      <c r="E261" s="20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20"/>
      <c r="Q261" s="19"/>
      <c r="R261" s="19"/>
      <c r="S261" s="19"/>
      <c r="T261" s="19"/>
      <c r="U261" s="19"/>
      <c r="V261" s="19"/>
      <c r="W261" s="20"/>
      <c r="X261" s="19"/>
      <c r="Y261" s="21"/>
      <c r="Z261" s="21"/>
      <c r="AA261" s="21"/>
      <c r="AB261" s="21"/>
      <c r="AC261" s="20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</row>
    <row r="262" spans="1:44" ht="15.6" x14ac:dyDescent="0.3">
      <c r="A262" s="19"/>
      <c r="B262" s="19"/>
      <c r="C262" s="20"/>
      <c r="D262" s="19"/>
      <c r="E262" s="20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20"/>
      <c r="Q262" s="19"/>
      <c r="R262" s="19"/>
      <c r="S262" s="19"/>
      <c r="T262" s="19"/>
      <c r="U262" s="19"/>
      <c r="V262" s="19"/>
      <c r="W262" s="20"/>
      <c r="X262" s="19"/>
      <c r="Y262" s="21"/>
      <c r="Z262" s="21"/>
      <c r="AA262" s="21"/>
      <c r="AB262" s="21"/>
      <c r="AC262" s="20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</row>
    <row r="263" spans="1:44" ht="15.6" x14ac:dyDescent="0.3">
      <c r="A263" s="19"/>
      <c r="B263" s="19"/>
      <c r="C263" s="20"/>
      <c r="D263" s="19"/>
      <c r="E263" s="20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20"/>
      <c r="Q263" s="19"/>
      <c r="R263" s="19"/>
      <c r="S263" s="19"/>
      <c r="T263" s="19"/>
      <c r="U263" s="19"/>
      <c r="V263" s="19"/>
      <c r="W263" s="20"/>
      <c r="X263" s="19"/>
      <c r="Y263" s="21"/>
      <c r="Z263" s="21"/>
      <c r="AA263" s="21"/>
      <c r="AB263" s="21"/>
      <c r="AC263" s="20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</row>
    <row r="264" spans="1:44" ht="15.6" x14ac:dyDescent="0.3">
      <c r="A264" s="19"/>
      <c r="B264" s="19"/>
      <c r="C264" s="20"/>
      <c r="D264" s="19"/>
      <c r="E264" s="20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20"/>
      <c r="Q264" s="19"/>
      <c r="R264" s="19"/>
      <c r="S264" s="19"/>
      <c r="T264" s="19"/>
      <c r="U264" s="19"/>
      <c r="V264" s="19"/>
      <c r="W264" s="20"/>
      <c r="X264" s="19"/>
      <c r="Y264" s="21"/>
      <c r="Z264" s="21"/>
      <c r="AA264" s="21"/>
      <c r="AB264" s="21"/>
      <c r="AC264" s="20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</row>
    <row r="265" spans="1:44" ht="15.6" x14ac:dyDescent="0.3">
      <c r="A265" s="19"/>
      <c r="B265" s="19"/>
      <c r="C265" s="20"/>
      <c r="D265" s="19"/>
      <c r="E265" s="20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20"/>
      <c r="Q265" s="19"/>
      <c r="R265" s="19"/>
      <c r="S265" s="19"/>
      <c r="T265" s="19"/>
      <c r="U265" s="19"/>
      <c r="V265" s="19"/>
      <c r="W265" s="20"/>
      <c r="X265" s="19"/>
      <c r="Y265" s="21"/>
      <c r="Z265" s="21"/>
      <c r="AA265" s="21"/>
      <c r="AB265" s="21"/>
      <c r="AC265" s="20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</row>
    <row r="266" spans="1:44" ht="15.6" x14ac:dyDescent="0.3">
      <c r="A266" s="19"/>
      <c r="B266" s="19"/>
      <c r="C266" s="20"/>
      <c r="D266" s="19"/>
      <c r="E266" s="20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20"/>
      <c r="Q266" s="19"/>
      <c r="R266" s="19"/>
      <c r="S266" s="19"/>
      <c r="T266" s="19"/>
      <c r="U266" s="19"/>
      <c r="V266" s="19"/>
      <c r="W266" s="20"/>
      <c r="X266" s="19"/>
      <c r="Y266" s="21"/>
      <c r="Z266" s="21"/>
      <c r="AA266" s="21"/>
      <c r="AB266" s="21"/>
      <c r="AC266" s="20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</row>
    <row r="267" spans="1:44" ht="15.6" x14ac:dyDescent="0.3">
      <c r="A267" s="19"/>
      <c r="B267" s="19"/>
      <c r="C267" s="20"/>
      <c r="D267" s="19"/>
      <c r="E267" s="20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20"/>
      <c r="Q267" s="19"/>
      <c r="R267" s="19"/>
      <c r="S267" s="19"/>
      <c r="T267" s="19"/>
      <c r="U267" s="19"/>
      <c r="V267" s="19"/>
      <c r="W267" s="20"/>
      <c r="X267" s="19"/>
      <c r="Y267" s="21"/>
      <c r="Z267" s="21"/>
      <c r="AA267" s="21"/>
      <c r="AB267" s="21"/>
      <c r="AC267" s="20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</row>
    <row r="268" spans="1:44" ht="15.6" x14ac:dyDescent="0.3">
      <c r="A268" s="19"/>
      <c r="B268" s="19"/>
      <c r="C268" s="20"/>
      <c r="D268" s="19"/>
      <c r="E268" s="20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20"/>
      <c r="Q268" s="19"/>
      <c r="R268" s="19"/>
      <c r="S268" s="19"/>
      <c r="T268" s="19"/>
      <c r="U268" s="19"/>
      <c r="V268" s="19"/>
      <c r="W268" s="20"/>
      <c r="X268" s="19"/>
      <c r="Y268" s="21"/>
      <c r="Z268" s="21"/>
      <c r="AA268" s="21"/>
      <c r="AB268" s="21"/>
      <c r="AC268" s="20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</row>
    <row r="269" spans="1:44" ht="15.6" x14ac:dyDescent="0.3">
      <c r="A269" s="19"/>
      <c r="B269" s="19"/>
      <c r="C269" s="20"/>
      <c r="D269" s="19"/>
      <c r="E269" s="20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20"/>
      <c r="Q269" s="19"/>
      <c r="R269" s="19"/>
      <c r="S269" s="19"/>
      <c r="T269" s="19"/>
      <c r="U269" s="19"/>
      <c r="V269" s="19"/>
      <c r="W269" s="20"/>
      <c r="X269" s="19"/>
      <c r="Y269" s="21"/>
      <c r="Z269" s="21"/>
      <c r="AA269" s="21"/>
      <c r="AB269" s="21"/>
      <c r="AC269" s="20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</row>
    <row r="270" spans="1:44" ht="15.6" x14ac:dyDescent="0.3">
      <c r="A270" s="19"/>
      <c r="B270" s="19"/>
      <c r="C270" s="20"/>
      <c r="D270" s="19"/>
      <c r="E270" s="20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20"/>
      <c r="Q270" s="19"/>
      <c r="R270" s="19"/>
      <c r="S270" s="19"/>
      <c r="T270" s="19"/>
      <c r="U270" s="19"/>
      <c r="V270" s="19"/>
      <c r="W270" s="20"/>
      <c r="X270" s="19"/>
      <c r="Y270" s="21"/>
      <c r="Z270" s="21"/>
      <c r="AA270" s="21"/>
      <c r="AB270" s="21"/>
      <c r="AC270" s="20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</row>
    <row r="271" spans="1:44" ht="15.6" x14ac:dyDescent="0.3">
      <c r="A271" s="19"/>
      <c r="B271" s="19"/>
      <c r="C271" s="20"/>
      <c r="D271" s="19"/>
      <c r="E271" s="20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20"/>
      <c r="Q271" s="19"/>
      <c r="R271" s="19"/>
      <c r="S271" s="19"/>
      <c r="T271" s="19"/>
      <c r="U271" s="19"/>
      <c r="V271" s="19"/>
      <c r="W271" s="20"/>
      <c r="X271" s="19"/>
      <c r="Y271" s="21"/>
      <c r="Z271" s="21"/>
      <c r="AA271" s="21"/>
      <c r="AB271" s="21"/>
      <c r="AC271" s="20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</row>
    <row r="272" spans="1:44" ht="15.6" x14ac:dyDescent="0.3">
      <c r="A272" s="19"/>
      <c r="B272" s="19"/>
      <c r="C272" s="20"/>
      <c r="D272" s="19"/>
      <c r="E272" s="20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20"/>
      <c r="Q272" s="19"/>
      <c r="R272" s="19"/>
      <c r="S272" s="19"/>
      <c r="T272" s="19"/>
      <c r="U272" s="19"/>
      <c r="V272" s="19"/>
      <c r="W272" s="20"/>
      <c r="X272" s="19"/>
      <c r="Y272" s="21"/>
      <c r="Z272" s="21"/>
      <c r="AA272" s="21"/>
      <c r="AB272" s="21"/>
      <c r="AC272" s="20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</row>
    <row r="273" spans="1:44" ht="15.6" x14ac:dyDescent="0.3">
      <c r="A273" s="19"/>
      <c r="B273" s="19"/>
      <c r="C273" s="20"/>
      <c r="D273" s="19"/>
      <c r="E273" s="20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20"/>
      <c r="Q273" s="19"/>
      <c r="R273" s="19"/>
      <c r="S273" s="19"/>
      <c r="T273" s="19"/>
      <c r="U273" s="19"/>
      <c r="V273" s="19"/>
      <c r="W273" s="20"/>
      <c r="X273" s="19"/>
      <c r="Y273" s="21"/>
      <c r="Z273" s="21"/>
      <c r="AA273" s="21"/>
      <c r="AB273" s="21"/>
      <c r="AC273" s="20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</row>
    <row r="274" spans="1:44" ht="15.6" x14ac:dyDescent="0.3">
      <c r="A274" s="19"/>
      <c r="B274" s="19"/>
      <c r="C274" s="20"/>
      <c r="D274" s="19"/>
      <c r="E274" s="20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20"/>
      <c r="Q274" s="19"/>
      <c r="R274" s="19"/>
      <c r="S274" s="19"/>
      <c r="T274" s="19"/>
      <c r="U274" s="19"/>
      <c r="V274" s="19"/>
      <c r="W274" s="20"/>
      <c r="X274" s="19"/>
      <c r="Y274" s="21"/>
      <c r="Z274" s="21"/>
      <c r="AA274" s="21"/>
      <c r="AB274" s="21"/>
      <c r="AC274" s="20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</row>
    <row r="275" spans="1:44" ht="15.6" x14ac:dyDescent="0.3">
      <c r="A275" s="19"/>
      <c r="B275" s="19"/>
      <c r="C275" s="20"/>
      <c r="D275" s="19"/>
      <c r="E275" s="20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20"/>
      <c r="Q275" s="19"/>
      <c r="R275" s="19"/>
      <c r="S275" s="19"/>
      <c r="T275" s="19"/>
      <c r="U275" s="19"/>
      <c r="V275" s="19"/>
      <c r="W275" s="20"/>
      <c r="X275" s="19"/>
      <c r="Y275" s="21"/>
      <c r="Z275" s="21"/>
      <c r="AA275" s="21"/>
      <c r="AB275" s="21"/>
      <c r="AC275" s="20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</row>
    <row r="276" spans="1:44" ht="15.6" x14ac:dyDescent="0.3">
      <c r="A276" s="19"/>
      <c r="B276" s="19"/>
      <c r="C276" s="20"/>
      <c r="D276" s="19"/>
      <c r="E276" s="20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20"/>
      <c r="Q276" s="19"/>
      <c r="R276" s="19"/>
      <c r="S276" s="19"/>
      <c r="T276" s="19"/>
      <c r="U276" s="19"/>
      <c r="V276" s="19"/>
      <c r="W276" s="20"/>
      <c r="X276" s="19"/>
      <c r="Y276" s="21"/>
      <c r="Z276" s="21"/>
      <c r="AA276" s="21"/>
      <c r="AB276" s="21"/>
      <c r="AC276" s="20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</row>
    <row r="277" spans="1:44" ht="15.6" x14ac:dyDescent="0.3">
      <c r="A277" s="19"/>
      <c r="B277" s="19"/>
      <c r="C277" s="20"/>
      <c r="D277" s="19"/>
      <c r="E277" s="20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20"/>
      <c r="Q277" s="19"/>
      <c r="R277" s="19"/>
      <c r="S277" s="19"/>
      <c r="T277" s="19"/>
      <c r="U277" s="19"/>
      <c r="V277" s="19"/>
      <c r="W277" s="20"/>
      <c r="X277" s="19"/>
      <c r="Y277" s="21"/>
      <c r="Z277" s="21"/>
      <c r="AA277" s="21"/>
      <c r="AB277" s="21"/>
      <c r="AC277" s="20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</row>
    <row r="278" spans="1:44" ht="15.6" x14ac:dyDescent="0.3">
      <c r="A278" s="19"/>
      <c r="B278" s="19"/>
      <c r="C278" s="20"/>
      <c r="D278" s="19"/>
      <c r="E278" s="20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20"/>
      <c r="Q278" s="19"/>
      <c r="R278" s="19"/>
      <c r="S278" s="19"/>
      <c r="T278" s="19"/>
      <c r="U278" s="19"/>
      <c r="V278" s="19"/>
      <c r="W278" s="20"/>
      <c r="X278" s="19"/>
      <c r="Y278" s="21"/>
      <c r="Z278" s="21"/>
      <c r="AA278" s="21"/>
      <c r="AB278" s="21"/>
      <c r="AC278" s="20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</row>
    <row r="279" spans="1:44" ht="15.6" x14ac:dyDescent="0.3">
      <c r="A279" s="19"/>
      <c r="B279" s="19"/>
      <c r="C279" s="20"/>
      <c r="D279" s="19"/>
      <c r="E279" s="20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20"/>
      <c r="Q279" s="19"/>
      <c r="R279" s="19"/>
      <c r="S279" s="19"/>
      <c r="T279" s="19"/>
      <c r="U279" s="19"/>
      <c r="V279" s="19"/>
      <c r="W279" s="20"/>
      <c r="X279" s="19"/>
      <c r="Y279" s="21"/>
      <c r="Z279" s="21"/>
      <c r="AA279" s="21"/>
      <c r="AB279" s="21"/>
      <c r="AC279" s="20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</row>
    <row r="280" spans="1:44" ht="15.6" x14ac:dyDescent="0.3">
      <c r="A280" s="19"/>
      <c r="B280" s="19"/>
      <c r="C280" s="20"/>
      <c r="D280" s="19"/>
      <c r="E280" s="20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20"/>
      <c r="Q280" s="19"/>
      <c r="R280" s="19"/>
      <c r="S280" s="19"/>
      <c r="T280" s="19"/>
      <c r="U280" s="19"/>
      <c r="V280" s="19"/>
      <c r="W280" s="20"/>
      <c r="X280" s="19"/>
      <c r="Y280" s="21"/>
      <c r="Z280" s="21"/>
      <c r="AA280" s="21"/>
      <c r="AB280" s="21"/>
      <c r="AC280" s="20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</row>
    <row r="281" spans="1:44" ht="15.6" x14ac:dyDescent="0.3">
      <c r="A281" s="19"/>
      <c r="B281" s="19"/>
      <c r="C281" s="20"/>
      <c r="D281" s="19"/>
      <c r="E281" s="20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20"/>
      <c r="Q281" s="19"/>
      <c r="R281" s="19"/>
      <c r="S281" s="19"/>
      <c r="T281" s="19"/>
      <c r="U281" s="19"/>
      <c r="V281" s="19"/>
      <c r="W281" s="20"/>
      <c r="X281" s="19"/>
      <c r="Y281" s="21"/>
      <c r="Z281" s="21"/>
      <c r="AA281" s="21"/>
      <c r="AB281" s="21"/>
      <c r="AC281" s="20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</row>
    <row r="282" spans="1:44" ht="15.6" x14ac:dyDescent="0.3">
      <c r="A282" s="19"/>
      <c r="B282" s="19"/>
      <c r="C282" s="20"/>
      <c r="D282" s="19"/>
      <c r="E282" s="20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20"/>
      <c r="Q282" s="19"/>
      <c r="R282" s="19"/>
      <c r="S282" s="19"/>
      <c r="T282" s="19"/>
      <c r="U282" s="19"/>
      <c r="V282" s="19"/>
      <c r="W282" s="20"/>
      <c r="X282" s="19"/>
      <c r="Y282" s="21"/>
      <c r="Z282" s="21"/>
      <c r="AA282" s="21"/>
      <c r="AB282" s="21"/>
      <c r="AC282" s="20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</row>
    <row r="283" spans="1:44" ht="15.6" x14ac:dyDescent="0.3">
      <c r="A283" s="19"/>
      <c r="B283" s="19"/>
      <c r="C283" s="20"/>
      <c r="D283" s="19"/>
      <c r="E283" s="20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20"/>
      <c r="Q283" s="19"/>
      <c r="R283" s="19"/>
      <c r="S283" s="19"/>
      <c r="T283" s="19"/>
      <c r="U283" s="19"/>
      <c r="V283" s="19"/>
      <c r="W283" s="20"/>
      <c r="X283" s="19"/>
      <c r="Y283" s="21"/>
      <c r="Z283" s="21"/>
      <c r="AA283" s="21"/>
      <c r="AB283" s="21"/>
      <c r="AC283" s="20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</row>
    <row r="284" spans="1:44" ht="15.6" x14ac:dyDescent="0.3">
      <c r="A284" s="19"/>
      <c r="B284" s="19"/>
      <c r="C284" s="20"/>
      <c r="D284" s="19"/>
      <c r="E284" s="20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20"/>
      <c r="Q284" s="19"/>
      <c r="R284" s="19"/>
      <c r="S284" s="19"/>
      <c r="T284" s="19"/>
      <c r="U284" s="19"/>
      <c r="V284" s="19"/>
      <c r="W284" s="20"/>
      <c r="X284" s="19"/>
      <c r="Y284" s="21"/>
      <c r="Z284" s="21"/>
      <c r="AA284" s="21"/>
      <c r="AB284" s="21"/>
      <c r="AC284" s="20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</row>
    <row r="285" spans="1:44" ht="15.6" x14ac:dyDescent="0.3">
      <c r="A285" s="19"/>
      <c r="B285" s="19"/>
      <c r="C285" s="20"/>
      <c r="D285" s="19"/>
      <c r="E285" s="20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20"/>
      <c r="Q285" s="19"/>
      <c r="R285" s="19"/>
      <c r="S285" s="19"/>
      <c r="T285" s="19"/>
      <c r="U285" s="19"/>
      <c r="V285" s="19"/>
      <c r="W285" s="20"/>
      <c r="X285" s="19"/>
      <c r="Y285" s="21"/>
      <c r="Z285" s="21"/>
      <c r="AA285" s="21"/>
      <c r="AB285" s="21"/>
      <c r="AC285" s="20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</row>
    <row r="286" spans="1:44" ht="15.6" x14ac:dyDescent="0.3">
      <c r="A286" s="19"/>
      <c r="B286" s="19"/>
      <c r="C286" s="20"/>
      <c r="D286" s="19"/>
      <c r="E286" s="20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20"/>
      <c r="Q286" s="19"/>
      <c r="R286" s="19"/>
      <c r="S286" s="19"/>
      <c r="T286" s="19"/>
      <c r="U286" s="19"/>
      <c r="V286" s="19"/>
      <c r="W286" s="20"/>
      <c r="X286" s="19"/>
      <c r="Y286" s="21"/>
      <c r="Z286" s="21"/>
      <c r="AA286" s="21"/>
      <c r="AB286" s="21"/>
      <c r="AC286" s="20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</row>
    <row r="287" spans="1:44" ht="15.6" x14ac:dyDescent="0.3">
      <c r="A287" s="19"/>
      <c r="B287" s="19"/>
      <c r="C287" s="20"/>
      <c r="D287" s="19"/>
      <c r="E287" s="20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20"/>
      <c r="Q287" s="19"/>
      <c r="R287" s="19"/>
      <c r="S287" s="19"/>
      <c r="T287" s="19"/>
      <c r="U287" s="19"/>
      <c r="V287" s="19"/>
      <c r="W287" s="20"/>
      <c r="X287" s="19"/>
      <c r="Y287" s="21"/>
      <c r="Z287" s="21"/>
      <c r="AA287" s="21"/>
      <c r="AB287" s="21"/>
      <c r="AC287" s="20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</row>
    <row r="288" spans="1:44" ht="15.6" x14ac:dyDescent="0.3">
      <c r="A288" s="19"/>
      <c r="B288" s="19"/>
      <c r="C288" s="20"/>
      <c r="D288" s="19"/>
      <c r="E288" s="20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20"/>
      <c r="Q288" s="19"/>
      <c r="R288" s="19"/>
      <c r="S288" s="19"/>
      <c r="T288" s="19"/>
      <c r="U288" s="19"/>
      <c r="V288" s="19"/>
      <c r="W288" s="20"/>
      <c r="X288" s="19"/>
      <c r="Y288" s="21"/>
      <c r="Z288" s="21"/>
      <c r="AA288" s="21"/>
      <c r="AB288" s="21"/>
      <c r="AC288" s="20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</row>
    <row r="289" spans="1:44" ht="15.6" x14ac:dyDescent="0.3">
      <c r="A289" s="19"/>
      <c r="B289" s="19"/>
      <c r="C289" s="20"/>
      <c r="D289" s="19"/>
      <c r="E289" s="20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20"/>
      <c r="Q289" s="19"/>
      <c r="R289" s="19"/>
      <c r="S289" s="19"/>
      <c r="T289" s="19"/>
      <c r="U289" s="19"/>
      <c r="V289" s="19"/>
      <c r="W289" s="20"/>
      <c r="X289" s="19"/>
      <c r="Y289" s="21"/>
      <c r="Z289" s="21"/>
      <c r="AA289" s="21"/>
      <c r="AB289" s="21"/>
      <c r="AC289" s="20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</row>
    <row r="290" spans="1:44" ht="15.6" x14ac:dyDescent="0.3">
      <c r="A290" s="19"/>
      <c r="B290" s="19"/>
      <c r="C290" s="20"/>
      <c r="D290" s="19"/>
      <c r="E290" s="20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20"/>
      <c r="Q290" s="19"/>
      <c r="R290" s="19"/>
      <c r="S290" s="19"/>
      <c r="T290" s="19"/>
      <c r="U290" s="19"/>
      <c r="V290" s="19"/>
      <c r="W290" s="20"/>
      <c r="X290" s="19"/>
      <c r="Y290" s="21"/>
      <c r="Z290" s="21"/>
      <c r="AA290" s="21"/>
      <c r="AB290" s="21"/>
      <c r="AC290" s="20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</row>
    <row r="291" spans="1:44" ht="15.6" x14ac:dyDescent="0.3">
      <c r="A291" s="19"/>
      <c r="B291" s="19"/>
      <c r="C291" s="20"/>
      <c r="D291" s="19"/>
      <c r="E291" s="20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20"/>
      <c r="Q291" s="19"/>
      <c r="R291" s="19"/>
      <c r="S291" s="19"/>
      <c r="T291" s="19"/>
      <c r="U291" s="19"/>
      <c r="V291" s="19"/>
      <c r="W291" s="20"/>
      <c r="X291" s="19"/>
      <c r="Y291" s="21"/>
      <c r="Z291" s="21"/>
      <c r="AA291" s="21"/>
      <c r="AB291" s="21"/>
      <c r="AC291" s="20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</row>
    <row r="292" spans="1:44" ht="15.6" x14ac:dyDescent="0.3">
      <c r="A292" s="19"/>
      <c r="B292" s="19"/>
      <c r="C292" s="20"/>
      <c r="D292" s="19"/>
      <c r="E292" s="20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20"/>
      <c r="Q292" s="19"/>
      <c r="R292" s="19"/>
      <c r="S292" s="19"/>
      <c r="T292" s="19"/>
      <c r="U292" s="19"/>
      <c r="V292" s="19"/>
      <c r="W292" s="20"/>
      <c r="X292" s="19"/>
      <c r="Y292" s="21"/>
      <c r="Z292" s="21"/>
      <c r="AA292" s="21"/>
      <c r="AB292" s="21"/>
      <c r="AC292" s="20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</row>
    <row r="293" spans="1:44" ht="15.6" x14ac:dyDescent="0.3">
      <c r="A293" s="19"/>
      <c r="B293" s="19"/>
      <c r="C293" s="20"/>
      <c r="D293" s="19"/>
      <c r="E293" s="20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20"/>
      <c r="Q293" s="19"/>
      <c r="R293" s="19"/>
      <c r="S293" s="19"/>
      <c r="T293" s="19"/>
      <c r="U293" s="19"/>
      <c r="V293" s="19"/>
      <c r="W293" s="20"/>
      <c r="X293" s="19"/>
      <c r="Y293" s="21"/>
      <c r="Z293" s="21"/>
      <c r="AA293" s="21"/>
      <c r="AB293" s="21"/>
      <c r="AC293" s="20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</row>
    <row r="294" spans="1:44" ht="15.6" x14ac:dyDescent="0.3">
      <c r="A294" s="19"/>
      <c r="B294" s="19"/>
      <c r="C294" s="20"/>
      <c r="D294" s="19"/>
      <c r="E294" s="20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20"/>
      <c r="Q294" s="19"/>
      <c r="R294" s="19"/>
      <c r="S294" s="19"/>
      <c r="T294" s="19"/>
      <c r="U294" s="19"/>
      <c r="V294" s="19"/>
      <c r="W294" s="20"/>
      <c r="X294" s="19"/>
      <c r="Y294" s="21"/>
      <c r="Z294" s="21"/>
      <c r="AA294" s="21"/>
      <c r="AB294" s="21"/>
      <c r="AC294" s="20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</row>
    <row r="295" spans="1:44" ht="15.6" x14ac:dyDescent="0.3">
      <c r="A295" s="19"/>
      <c r="B295" s="19"/>
      <c r="C295" s="20"/>
      <c r="D295" s="19"/>
      <c r="E295" s="20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20"/>
      <c r="Q295" s="19"/>
      <c r="R295" s="19"/>
      <c r="S295" s="19"/>
      <c r="T295" s="19"/>
      <c r="U295" s="19"/>
      <c r="V295" s="19"/>
      <c r="W295" s="20"/>
      <c r="X295" s="19"/>
      <c r="Y295" s="21"/>
      <c r="Z295" s="21"/>
      <c r="AA295" s="21"/>
      <c r="AB295" s="21"/>
      <c r="AC295" s="20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</row>
    <row r="296" spans="1:44" ht="15.6" x14ac:dyDescent="0.3">
      <c r="A296" s="19"/>
      <c r="B296" s="19"/>
      <c r="C296" s="20"/>
      <c r="D296" s="19"/>
      <c r="E296" s="20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20"/>
      <c r="Q296" s="19"/>
      <c r="R296" s="19"/>
      <c r="S296" s="19"/>
      <c r="T296" s="19"/>
      <c r="U296" s="19"/>
      <c r="V296" s="19"/>
      <c r="W296" s="20"/>
      <c r="X296" s="19"/>
      <c r="Y296" s="21"/>
      <c r="Z296" s="21"/>
      <c r="AA296" s="21"/>
      <c r="AB296" s="21"/>
      <c r="AC296" s="20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</row>
    <row r="297" spans="1:44" ht="15.6" x14ac:dyDescent="0.3">
      <c r="A297" s="19"/>
      <c r="B297" s="19"/>
      <c r="C297" s="20"/>
      <c r="D297" s="19"/>
      <c r="E297" s="20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20"/>
      <c r="Q297" s="19"/>
      <c r="R297" s="19"/>
      <c r="S297" s="19"/>
      <c r="T297" s="19"/>
      <c r="U297" s="19"/>
      <c r="V297" s="19"/>
      <c r="W297" s="20"/>
      <c r="X297" s="19"/>
      <c r="Y297" s="21"/>
      <c r="Z297" s="21"/>
      <c r="AA297" s="21"/>
      <c r="AB297" s="21"/>
      <c r="AC297" s="20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</row>
    <row r="298" spans="1:44" ht="15.6" x14ac:dyDescent="0.3">
      <c r="A298" s="19"/>
      <c r="B298" s="19"/>
      <c r="C298" s="20"/>
      <c r="D298" s="19"/>
      <c r="E298" s="20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20"/>
      <c r="Q298" s="19"/>
      <c r="R298" s="19"/>
      <c r="S298" s="19"/>
      <c r="T298" s="19"/>
      <c r="U298" s="19"/>
      <c r="V298" s="19"/>
      <c r="W298" s="20"/>
      <c r="X298" s="19"/>
      <c r="Y298" s="21"/>
      <c r="Z298" s="21"/>
      <c r="AA298" s="21"/>
      <c r="AB298" s="21"/>
      <c r="AC298" s="20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</row>
    <row r="299" spans="1:44" ht="15.6" x14ac:dyDescent="0.3">
      <c r="A299" s="19"/>
      <c r="B299" s="19"/>
      <c r="C299" s="20"/>
      <c r="D299" s="19"/>
      <c r="E299" s="20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20"/>
      <c r="Q299" s="19"/>
      <c r="R299" s="19"/>
      <c r="S299" s="19"/>
      <c r="T299" s="19"/>
      <c r="U299" s="19"/>
      <c r="V299" s="19"/>
      <c r="W299" s="20"/>
      <c r="X299" s="19"/>
      <c r="Y299" s="21"/>
      <c r="Z299" s="21"/>
      <c r="AA299" s="21"/>
      <c r="AB299" s="21"/>
      <c r="AC299" s="20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</row>
    <row r="300" spans="1:44" ht="15.6" x14ac:dyDescent="0.3">
      <c r="A300" s="19"/>
      <c r="B300" s="19"/>
      <c r="C300" s="20"/>
      <c r="D300" s="19"/>
      <c r="E300" s="20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20"/>
      <c r="Q300" s="19"/>
      <c r="R300" s="19"/>
      <c r="S300" s="19"/>
      <c r="T300" s="19"/>
      <c r="U300" s="19"/>
      <c r="V300" s="19"/>
      <c r="W300" s="20"/>
      <c r="X300" s="19"/>
      <c r="Y300" s="21"/>
      <c r="Z300" s="21"/>
      <c r="AA300" s="21"/>
      <c r="AB300" s="21"/>
      <c r="AC300" s="20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</row>
    <row r="301" spans="1:44" ht="15.6" x14ac:dyDescent="0.3">
      <c r="A301" s="19"/>
      <c r="B301" s="19"/>
      <c r="C301" s="20"/>
      <c r="D301" s="19"/>
      <c r="E301" s="20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20"/>
      <c r="Q301" s="19"/>
      <c r="R301" s="19"/>
      <c r="S301" s="19"/>
      <c r="T301" s="19"/>
      <c r="U301" s="19"/>
      <c r="V301" s="19"/>
      <c r="W301" s="20"/>
      <c r="X301" s="19"/>
      <c r="Y301" s="21"/>
      <c r="Z301" s="21"/>
      <c r="AA301" s="21"/>
      <c r="AB301" s="21"/>
      <c r="AC301" s="20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</row>
    <row r="302" spans="1:44" ht="15.6" x14ac:dyDescent="0.3">
      <c r="A302" s="19"/>
      <c r="B302" s="19"/>
      <c r="C302" s="20"/>
      <c r="D302" s="19"/>
      <c r="E302" s="20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20"/>
      <c r="Q302" s="19"/>
      <c r="R302" s="19"/>
      <c r="S302" s="19"/>
      <c r="T302" s="19"/>
      <c r="U302" s="19"/>
      <c r="V302" s="19"/>
      <c r="W302" s="20"/>
      <c r="X302" s="19"/>
      <c r="Y302" s="21"/>
      <c r="Z302" s="21"/>
      <c r="AA302" s="21"/>
      <c r="AB302" s="21"/>
      <c r="AC302" s="20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</row>
    <row r="303" spans="1:44" ht="15.6" x14ac:dyDescent="0.3">
      <c r="A303" s="19"/>
      <c r="B303" s="19"/>
      <c r="C303" s="20"/>
      <c r="D303" s="19"/>
      <c r="E303" s="20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20"/>
      <c r="Q303" s="19"/>
      <c r="R303" s="19"/>
      <c r="S303" s="19"/>
      <c r="T303" s="19"/>
      <c r="U303" s="19"/>
      <c r="V303" s="19"/>
      <c r="W303" s="20"/>
      <c r="X303" s="19"/>
      <c r="Y303" s="21"/>
      <c r="Z303" s="21"/>
      <c r="AA303" s="21"/>
      <c r="AB303" s="21"/>
      <c r="AC303" s="20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</row>
    <row r="304" spans="1:44" ht="15.6" x14ac:dyDescent="0.3">
      <c r="A304" s="19"/>
      <c r="B304" s="19"/>
      <c r="C304" s="20"/>
      <c r="D304" s="19"/>
      <c r="E304" s="20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20"/>
      <c r="Q304" s="19"/>
      <c r="R304" s="19"/>
      <c r="S304" s="19"/>
      <c r="T304" s="19"/>
      <c r="U304" s="19"/>
      <c r="V304" s="19"/>
      <c r="W304" s="20"/>
      <c r="X304" s="19"/>
      <c r="Y304" s="21"/>
      <c r="Z304" s="21"/>
      <c r="AA304" s="21"/>
      <c r="AB304" s="21"/>
      <c r="AC304" s="20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</row>
    <row r="305" spans="1:44" ht="15.6" x14ac:dyDescent="0.3">
      <c r="A305" s="19"/>
      <c r="B305" s="19"/>
      <c r="C305" s="20"/>
      <c r="D305" s="19"/>
      <c r="E305" s="20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20"/>
      <c r="Q305" s="19"/>
      <c r="R305" s="19"/>
      <c r="S305" s="19"/>
      <c r="T305" s="19"/>
      <c r="U305" s="19"/>
      <c r="V305" s="19"/>
      <c r="W305" s="20"/>
      <c r="X305" s="19"/>
      <c r="Y305" s="21"/>
      <c r="Z305" s="21"/>
      <c r="AA305" s="21"/>
      <c r="AB305" s="21"/>
      <c r="AC305" s="20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</row>
    <row r="306" spans="1:44" ht="15.6" x14ac:dyDescent="0.3">
      <c r="A306" s="19"/>
      <c r="B306" s="19"/>
      <c r="C306" s="20"/>
      <c r="D306" s="19"/>
      <c r="E306" s="20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20"/>
      <c r="Q306" s="19"/>
      <c r="R306" s="19"/>
      <c r="S306" s="19"/>
      <c r="T306" s="19"/>
      <c r="U306" s="19"/>
      <c r="V306" s="19"/>
      <c r="W306" s="20"/>
      <c r="X306" s="19"/>
      <c r="Y306" s="21"/>
      <c r="Z306" s="21"/>
      <c r="AA306" s="21"/>
      <c r="AB306" s="21"/>
      <c r="AC306" s="20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</row>
    <row r="307" spans="1:44" ht="15.6" x14ac:dyDescent="0.3">
      <c r="A307" s="19"/>
      <c r="B307" s="19"/>
      <c r="C307" s="20"/>
      <c r="D307" s="19"/>
      <c r="E307" s="20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20"/>
      <c r="Q307" s="19"/>
      <c r="R307" s="19"/>
      <c r="S307" s="19"/>
      <c r="T307" s="19"/>
      <c r="U307" s="19"/>
      <c r="V307" s="19"/>
      <c r="W307" s="20"/>
      <c r="X307" s="19"/>
      <c r="Y307" s="21"/>
      <c r="Z307" s="21"/>
      <c r="AA307" s="21"/>
      <c r="AB307" s="21"/>
      <c r="AC307" s="20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</row>
    <row r="308" spans="1:44" ht="15.6" x14ac:dyDescent="0.3">
      <c r="A308" s="19"/>
      <c r="B308" s="19"/>
      <c r="C308" s="20"/>
      <c r="D308" s="19"/>
      <c r="E308" s="20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20"/>
      <c r="Q308" s="19"/>
      <c r="R308" s="19"/>
      <c r="S308" s="19"/>
      <c r="T308" s="19"/>
      <c r="U308" s="19"/>
      <c r="V308" s="19"/>
      <c r="W308" s="20"/>
      <c r="X308" s="19"/>
      <c r="Y308" s="21"/>
      <c r="Z308" s="21"/>
      <c r="AA308" s="21"/>
      <c r="AB308" s="21"/>
      <c r="AC308" s="20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</row>
    <row r="309" spans="1:44" ht="15.6" x14ac:dyDescent="0.3">
      <c r="A309" s="19"/>
      <c r="B309" s="19"/>
      <c r="C309" s="20"/>
      <c r="D309" s="19"/>
      <c r="E309" s="20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20"/>
      <c r="Q309" s="19"/>
      <c r="R309" s="19"/>
      <c r="S309" s="19"/>
      <c r="T309" s="19"/>
      <c r="U309" s="19"/>
      <c r="V309" s="19"/>
      <c r="W309" s="20"/>
      <c r="X309" s="19"/>
      <c r="Y309" s="21"/>
      <c r="Z309" s="21"/>
      <c r="AA309" s="21"/>
      <c r="AB309" s="21"/>
      <c r="AC309" s="20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</row>
    <row r="310" spans="1:44" ht="15.6" x14ac:dyDescent="0.3">
      <c r="A310" s="19"/>
      <c r="B310" s="19"/>
      <c r="C310" s="20"/>
      <c r="D310" s="19"/>
      <c r="E310" s="20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20"/>
      <c r="Q310" s="19"/>
      <c r="R310" s="19"/>
      <c r="S310" s="19"/>
      <c r="T310" s="19"/>
      <c r="U310" s="19"/>
      <c r="V310" s="19"/>
      <c r="W310" s="20"/>
      <c r="X310" s="19"/>
      <c r="Y310" s="21"/>
      <c r="Z310" s="21"/>
      <c r="AA310" s="21"/>
      <c r="AB310" s="21"/>
      <c r="AC310" s="20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</row>
    <row r="311" spans="1:44" ht="15.6" x14ac:dyDescent="0.3">
      <c r="A311" s="19"/>
      <c r="B311" s="19"/>
      <c r="C311" s="20"/>
      <c r="D311" s="19"/>
      <c r="E311" s="20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20"/>
      <c r="Q311" s="19"/>
      <c r="R311" s="19"/>
      <c r="S311" s="19"/>
      <c r="T311" s="19"/>
      <c r="U311" s="19"/>
      <c r="V311" s="19"/>
      <c r="W311" s="20"/>
      <c r="X311" s="19"/>
      <c r="Y311" s="21"/>
      <c r="Z311" s="21"/>
      <c r="AA311" s="21"/>
      <c r="AB311" s="21"/>
      <c r="AC311" s="20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</row>
    <row r="312" spans="1:44" ht="15.6" x14ac:dyDescent="0.3">
      <c r="A312" s="19"/>
      <c r="B312" s="19"/>
      <c r="C312" s="20"/>
      <c r="D312" s="19"/>
      <c r="E312" s="20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20"/>
      <c r="Q312" s="19"/>
      <c r="R312" s="19"/>
      <c r="S312" s="19"/>
      <c r="T312" s="19"/>
      <c r="U312" s="19"/>
      <c r="V312" s="19"/>
      <c r="W312" s="20"/>
      <c r="X312" s="19"/>
      <c r="Y312" s="21"/>
      <c r="Z312" s="21"/>
      <c r="AA312" s="21"/>
      <c r="AB312" s="21"/>
      <c r="AC312" s="20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</row>
    <row r="313" spans="1:44" ht="15.6" x14ac:dyDescent="0.3">
      <c r="A313" s="19"/>
      <c r="B313" s="19"/>
      <c r="C313" s="20"/>
      <c r="D313" s="19"/>
      <c r="E313" s="20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20"/>
      <c r="Q313" s="19"/>
      <c r="R313" s="19"/>
      <c r="S313" s="19"/>
      <c r="T313" s="19"/>
      <c r="U313" s="19"/>
      <c r="V313" s="19"/>
      <c r="W313" s="20"/>
      <c r="X313" s="19"/>
      <c r="Y313" s="21"/>
      <c r="Z313" s="21"/>
      <c r="AA313" s="21"/>
      <c r="AB313" s="21"/>
      <c r="AC313" s="20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</row>
    <row r="314" spans="1:44" ht="15.6" x14ac:dyDescent="0.3">
      <c r="A314" s="19"/>
      <c r="B314" s="19"/>
      <c r="C314" s="20"/>
      <c r="D314" s="19"/>
      <c r="E314" s="20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20"/>
      <c r="Q314" s="19"/>
      <c r="R314" s="19"/>
      <c r="S314" s="19"/>
      <c r="T314" s="19"/>
      <c r="U314" s="19"/>
      <c r="V314" s="19"/>
      <c r="W314" s="20"/>
      <c r="X314" s="19"/>
      <c r="Y314" s="21"/>
      <c r="Z314" s="21"/>
      <c r="AA314" s="21"/>
      <c r="AB314" s="21"/>
      <c r="AC314" s="20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</row>
    <row r="315" spans="1:44" ht="15.6" x14ac:dyDescent="0.3">
      <c r="A315" s="19"/>
      <c r="B315" s="19"/>
      <c r="C315" s="20"/>
      <c r="D315" s="19"/>
      <c r="E315" s="20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20"/>
      <c r="Q315" s="19"/>
      <c r="R315" s="19"/>
      <c r="S315" s="19"/>
      <c r="T315" s="19"/>
      <c r="U315" s="19"/>
      <c r="V315" s="19"/>
      <c r="W315" s="20"/>
      <c r="X315" s="19"/>
      <c r="Y315" s="21"/>
      <c r="Z315" s="21"/>
      <c r="AA315" s="21"/>
      <c r="AB315" s="21"/>
      <c r="AC315" s="20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</row>
    <row r="316" spans="1:44" ht="15.6" x14ac:dyDescent="0.3">
      <c r="A316" s="19"/>
      <c r="B316" s="19"/>
      <c r="C316" s="20"/>
      <c r="D316" s="19"/>
      <c r="E316" s="20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20"/>
      <c r="Q316" s="19"/>
      <c r="R316" s="19"/>
      <c r="S316" s="19"/>
      <c r="T316" s="19"/>
      <c r="U316" s="19"/>
      <c r="V316" s="19"/>
      <c r="W316" s="20"/>
      <c r="X316" s="19"/>
      <c r="Y316" s="21"/>
      <c r="Z316" s="21"/>
      <c r="AA316" s="21"/>
      <c r="AB316" s="21"/>
      <c r="AC316" s="20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</row>
    <row r="317" spans="1:44" ht="15.6" x14ac:dyDescent="0.3">
      <c r="A317" s="19"/>
      <c r="B317" s="19"/>
      <c r="C317" s="20"/>
      <c r="D317" s="19"/>
      <c r="E317" s="20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20"/>
      <c r="Q317" s="19"/>
      <c r="R317" s="19"/>
      <c r="S317" s="19"/>
      <c r="T317" s="19"/>
      <c r="U317" s="19"/>
      <c r="V317" s="19"/>
      <c r="W317" s="20"/>
      <c r="X317" s="19"/>
      <c r="Y317" s="21"/>
      <c r="Z317" s="21"/>
      <c r="AA317" s="21"/>
      <c r="AB317" s="21"/>
      <c r="AC317" s="20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</row>
    <row r="318" spans="1:44" ht="15.6" x14ac:dyDescent="0.3">
      <c r="A318" s="19"/>
      <c r="B318" s="19"/>
      <c r="C318" s="20"/>
      <c r="D318" s="19"/>
      <c r="E318" s="20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20"/>
      <c r="Q318" s="19"/>
      <c r="R318" s="19"/>
      <c r="S318" s="19"/>
      <c r="T318" s="19"/>
      <c r="U318" s="19"/>
      <c r="V318" s="19"/>
      <c r="W318" s="20"/>
      <c r="X318" s="19"/>
      <c r="Y318" s="21"/>
      <c r="Z318" s="21"/>
      <c r="AA318" s="21"/>
      <c r="AB318" s="21"/>
      <c r="AC318" s="20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</row>
    <row r="319" spans="1:44" ht="15.6" x14ac:dyDescent="0.3">
      <c r="A319" s="19"/>
      <c r="B319" s="19"/>
      <c r="C319" s="20"/>
      <c r="D319" s="19"/>
      <c r="E319" s="20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20"/>
      <c r="Q319" s="19"/>
      <c r="R319" s="19"/>
      <c r="S319" s="19"/>
      <c r="T319" s="19"/>
      <c r="U319" s="19"/>
      <c r="V319" s="19"/>
      <c r="W319" s="20"/>
      <c r="X319" s="19"/>
      <c r="Y319" s="21"/>
      <c r="Z319" s="21"/>
      <c r="AA319" s="21"/>
      <c r="AB319" s="21"/>
      <c r="AC319" s="20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</row>
    <row r="320" spans="1:44" ht="15.6" x14ac:dyDescent="0.3">
      <c r="A320" s="19"/>
      <c r="B320" s="19"/>
      <c r="C320" s="20"/>
      <c r="D320" s="19"/>
      <c r="E320" s="20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20"/>
      <c r="Q320" s="19"/>
      <c r="R320" s="19"/>
      <c r="S320" s="19"/>
      <c r="T320" s="19"/>
      <c r="U320" s="19"/>
      <c r="V320" s="19"/>
      <c r="W320" s="20"/>
      <c r="X320" s="19"/>
      <c r="Y320" s="21"/>
      <c r="Z320" s="21"/>
      <c r="AA320" s="21"/>
      <c r="AB320" s="21"/>
      <c r="AC320" s="20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</row>
    <row r="321" spans="1:44" ht="15.6" x14ac:dyDescent="0.3">
      <c r="A321" s="19"/>
      <c r="B321" s="19"/>
      <c r="C321" s="20"/>
      <c r="D321" s="19"/>
      <c r="E321" s="20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20"/>
      <c r="Q321" s="19"/>
      <c r="R321" s="19"/>
      <c r="S321" s="19"/>
      <c r="T321" s="19"/>
      <c r="U321" s="19"/>
      <c r="V321" s="19"/>
      <c r="W321" s="20"/>
      <c r="X321" s="19"/>
      <c r="Y321" s="21"/>
      <c r="Z321" s="21"/>
      <c r="AA321" s="21"/>
      <c r="AB321" s="21"/>
      <c r="AC321" s="20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</row>
    <row r="322" spans="1:44" ht="15.6" x14ac:dyDescent="0.3">
      <c r="A322" s="19"/>
      <c r="B322" s="19"/>
      <c r="C322" s="20"/>
      <c r="D322" s="19"/>
      <c r="E322" s="20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20"/>
      <c r="Q322" s="19"/>
      <c r="R322" s="19"/>
      <c r="S322" s="19"/>
      <c r="T322" s="19"/>
      <c r="U322" s="19"/>
      <c r="V322" s="19"/>
      <c r="W322" s="20"/>
      <c r="X322" s="19"/>
      <c r="Y322" s="21"/>
      <c r="Z322" s="21"/>
      <c r="AA322" s="21"/>
      <c r="AB322" s="21"/>
      <c r="AC322" s="20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</row>
    <row r="323" spans="1:44" ht="15.6" x14ac:dyDescent="0.3">
      <c r="A323" s="19"/>
      <c r="B323" s="19"/>
      <c r="C323" s="20"/>
      <c r="D323" s="19"/>
      <c r="E323" s="20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20"/>
      <c r="Q323" s="19"/>
      <c r="R323" s="19"/>
      <c r="S323" s="19"/>
      <c r="T323" s="19"/>
      <c r="U323" s="19"/>
      <c r="V323" s="19"/>
      <c r="W323" s="20"/>
      <c r="X323" s="19"/>
      <c r="Y323" s="21"/>
      <c r="Z323" s="21"/>
      <c r="AA323" s="21"/>
      <c r="AB323" s="21"/>
      <c r="AC323" s="20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</row>
    <row r="324" spans="1:44" ht="15.6" x14ac:dyDescent="0.3">
      <c r="A324" s="19"/>
      <c r="B324" s="19"/>
      <c r="C324" s="20"/>
      <c r="D324" s="19"/>
      <c r="E324" s="20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20"/>
      <c r="Q324" s="19"/>
      <c r="R324" s="19"/>
      <c r="S324" s="19"/>
      <c r="T324" s="19"/>
      <c r="U324" s="19"/>
      <c r="V324" s="19"/>
      <c r="W324" s="20"/>
      <c r="X324" s="19"/>
      <c r="Y324" s="21"/>
      <c r="Z324" s="21"/>
      <c r="AA324" s="21"/>
      <c r="AB324" s="21"/>
      <c r="AC324" s="20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</row>
    <row r="325" spans="1:44" ht="15.6" x14ac:dyDescent="0.3">
      <c r="A325" s="19"/>
      <c r="B325" s="19"/>
      <c r="C325" s="20"/>
      <c r="D325" s="19"/>
      <c r="E325" s="20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20"/>
      <c r="Q325" s="19"/>
      <c r="R325" s="19"/>
      <c r="S325" s="19"/>
      <c r="T325" s="19"/>
      <c r="U325" s="19"/>
      <c r="V325" s="19"/>
      <c r="W325" s="20"/>
      <c r="X325" s="19"/>
      <c r="Y325" s="21"/>
      <c r="Z325" s="21"/>
      <c r="AA325" s="21"/>
      <c r="AB325" s="21"/>
      <c r="AC325" s="20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</row>
    <row r="326" spans="1:44" ht="15.6" x14ac:dyDescent="0.3">
      <c r="A326" s="19"/>
      <c r="B326" s="19"/>
      <c r="C326" s="20"/>
      <c r="D326" s="19"/>
      <c r="E326" s="20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20"/>
      <c r="Q326" s="19"/>
      <c r="R326" s="19"/>
      <c r="S326" s="19"/>
      <c r="T326" s="19"/>
      <c r="U326" s="19"/>
      <c r="V326" s="19"/>
      <c r="W326" s="20"/>
      <c r="X326" s="19"/>
      <c r="Y326" s="21"/>
      <c r="Z326" s="21"/>
      <c r="AA326" s="21"/>
      <c r="AB326" s="21"/>
      <c r="AC326" s="20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</row>
    <row r="327" spans="1:44" ht="15.6" x14ac:dyDescent="0.3">
      <c r="A327" s="19"/>
      <c r="B327" s="19"/>
      <c r="C327" s="20"/>
      <c r="D327" s="19"/>
      <c r="E327" s="20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20"/>
      <c r="Q327" s="19"/>
      <c r="R327" s="19"/>
      <c r="S327" s="19"/>
      <c r="T327" s="19"/>
      <c r="U327" s="19"/>
      <c r="V327" s="19"/>
      <c r="W327" s="20"/>
      <c r="X327" s="19"/>
      <c r="Y327" s="21"/>
      <c r="Z327" s="21"/>
      <c r="AA327" s="21"/>
      <c r="AB327" s="21"/>
      <c r="AC327" s="20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</row>
    <row r="328" spans="1:44" ht="15.6" x14ac:dyDescent="0.3">
      <c r="A328" s="19"/>
      <c r="B328" s="19"/>
      <c r="C328" s="20"/>
      <c r="D328" s="19"/>
      <c r="E328" s="20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20"/>
      <c r="Q328" s="19"/>
      <c r="R328" s="19"/>
      <c r="S328" s="19"/>
      <c r="T328" s="19"/>
      <c r="U328" s="19"/>
      <c r="V328" s="19"/>
      <c r="W328" s="20"/>
      <c r="X328" s="19"/>
      <c r="Y328" s="21"/>
      <c r="Z328" s="21"/>
      <c r="AA328" s="21"/>
      <c r="AB328" s="21"/>
      <c r="AC328" s="20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</row>
    <row r="329" spans="1:44" ht="15.6" x14ac:dyDescent="0.3">
      <c r="A329" s="19"/>
      <c r="B329" s="19"/>
      <c r="C329" s="20"/>
      <c r="D329" s="19"/>
      <c r="E329" s="20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20"/>
      <c r="Q329" s="19"/>
      <c r="R329" s="19"/>
      <c r="S329" s="19"/>
      <c r="T329" s="19"/>
      <c r="U329" s="19"/>
      <c r="V329" s="19"/>
      <c r="W329" s="20"/>
      <c r="X329" s="19"/>
      <c r="Y329" s="21"/>
      <c r="Z329" s="21"/>
      <c r="AA329" s="21"/>
      <c r="AB329" s="21"/>
      <c r="AC329" s="20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</row>
    <row r="330" spans="1:44" ht="15.6" x14ac:dyDescent="0.3">
      <c r="A330" s="19"/>
      <c r="B330" s="19"/>
      <c r="C330" s="20"/>
      <c r="D330" s="19"/>
      <c r="E330" s="20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20"/>
      <c r="Q330" s="19"/>
      <c r="R330" s="19"/>
      <c r="S330" s="19"/>
      <c r="T330" s="19"/>
      <c r="U330" s="19"/>
      <c r="V330" s="19"/>
      <c r="W330" s="20"/>
      <c r="X330" s="19"/>
      <c r="Y330" s="21"/>
      <c r="Z330" s="21"/>
      <c r="AA330" s="21"/>
      <c r="AB330" s="21"/>
      <c r="AC330" s="20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</row>
    <row r="331" spans="1:44" ht="15.6" x14ac:dyDescent="0.3">
      <c r="A331" s="19"/>
      <c r="B331" s="19"/>
      <c r="C331" s="20"/>
      <c r="D331" s="19"/>
      <c r="E331" s="20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20"/>
      <c r="Q331" s="19"/>
      <c r="R331" s="19"/>
      <c r="S331" s="19"/>
      <c r="T331" s="19"/>
      <c r="U331" s="19"/>
      <c r="V331" s="19"/>
      <c r="W331" s="20"/>
      <c r="X331" s="19"/>
      <c r="Y331" s="21"/>
      <c r="Z331" s="21"/>
      <c r="AA331" s="21"/>
      <c r="AB331" s="21"/>
      <c r="AC331" s="20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</row>
    <row r="332" spans="1:44" ht="15.6" x14ac:dyDescent="0.3">
      <c r="A332" s="19"/>
      <c r="B332" s="19"/>
      <c r="C332" s="20"/>
      <c r="D332" s="19"/>
      <c r="E332" s="20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20"/>
      <c r="Q332" s="19"/>
      <c r="R332" s="19"/>
      <c r="S332" s="19"/>
      <c r="T332" s="19"/>
      <c r="U332" s="19"/>
      <c r="V332" s="19"/>
      <c r="W332" s="20"/>
      <c r="X332" s="19"/>
      <c r="Y332" s="21"/>
      <c r="Z332" s="21"/>
      <c r="AA332" s="21"/>
      <c r="AB332" s="21"/>
      <c r="AC332" s="20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</row>
    <row r="333" spans="1:44" ht="15.6" x14ac:dyDescent="0.3">
      <c r="A333" s="19"/>
      <c r="B333" s="19"/>
      <c r="C333" s="20"/>
      <c r="D333" s="19"/>
      <c r="E333" s="20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20"/>
      <c r="Q333" s="19"/>
      <c r="R333" s="19"/>
      <c r="S333" s="19"/>
      <c r="T333" s="19"/>
      <c r="U333" s="19"/>
      <c r="V333" s="19"/>
      <c r="W333" s="20"/>
      <c r="X333" s="19"/>
      <c r="Y333" s="21"/>
      <c r="Z333" s="21"/>
      <c r="AA333" s="21"/>
      <c r="AB333" s="21"/>
      <c r="AC333" s="20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</row>
    <row r="334" spans="1:44" ht="15.6" x14ac:dyDescent="0.3">
      <c r="A334" s="19"/>
      <c r="B334" s="19"/>
      <c r="C334" s="20"/>
      <c r="D334" s="19"/>
      <c r="E334" s="20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20"/>
      <c r="Q334" s="19"/>
      <c r="R334" s="19"/>
      <c r="S334" s="19"/>
      <c r="T334" s="19"/>
      <c r="U334" s="19"/>
      <c r="V334" s="19"/>
      <c r="W334" s="20"/>
      <c r="X334" s="19"/>
      <c r="Y334" s="21"/>
      <c r="Z334" s="21"/>
      <c r="AA334" s="21"/>
      <c r="AB334" s="21"/>
      <c r="AC334" s="20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</row>
    <row r="335" spans="1:44" ht="15.6" x14ac:dyDescent="0.3">
      <c r="A335" s="19"/>
      <c r="B335" s="19"/>
      <c r="C335" s="20"/>
      <c r="D335" s="19"/>
      <c r="E335" s="20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20"/>
      <c r="Q335" s="19"/>
      <c r="R335" s="19"/>
      <c r="S335" s="19"/>
      <c r="T335" s="19"/>
      <c r="U335" s="19"/>
      <c r="V335" s="19"/>
      <c r="W335" s="20"/>
      <c r="X335" s="19"/>
      <c r="Y335" s="21"/>
      <c r="Z335" s="21"/>
      <c r="AA335" s="21"/>
      <c r="AB335" s="21"/>
      <c r="AC335" s="20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</row>
    <row r="336" spans="1:44" ht="15.6" x14ac:dyDescent="0.3">
      <c r="A336" s="19"/>
      <c r="B336" s="19"/>
      <c r="C336" s="20"/>
      <c r="D336" s="19"/>
      <c r="E336" s="20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20"/>
      <c r="Q336" s="19"/>
      <c r="R336" s="19"/>
      <c r="S336" s="19"/>
      <c r="T336" s="19"/>
      <c r="U336" s="19"/>
      <c r="V336" s="19"/>
      <c r="W336" s="20"/>
      <c r="X336" s="19"/>
      <c r="Y336" s="21"/>
      <c r="Z336" s="21"/>
      <c r="AA336" s="21"/>
      <c r="AB336" s="21"/>
      <c r="AC336" s="20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</row>
    <row r="337" spans="1:44" ht="15.6" x14ac:dyDescent="0.3">
      <c r="A337" s="19"/>
      <c r="B337" s="19"/>
      <c r="C337" s="20"/>
      <c r="D337" s="19"/>
      <c r="E337" s="20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20"/>
      <c r="Q337" s="19"/>
      <c r="R337" s="19"/>
      <c r="S337" s="19"/>
      <c r="T337" s="19"/>
      <c r="U337" s="19"/>
      <c r="V337" s="19"/>
      <c r="W337" s="20"/>
      <c r="X337" s="19"/>
      <c r="Y337" s="21"/>
      <c r="Z337" s="21"/>
      <c r="AA337" s="21"/>
      <c r="AB337" s="21"/>
      <c r="AC337" s="20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</row>
    <row r="338" spans="1:44" ht="15.6" x14ac:dyDescent="0.3">
      <c r="A338" s="19"/>
      <c r="B338" s="19"/>
      <c r="C338" s="20"/>
      <c r="D338" s="19"/>
      <c r="E338" s="20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20"/>
      <c r="Q338" s="19"/>
      <c r="R338" s="19"/>
      <c r="S338" s="19"/>
      <c r="T338" s="19"/>
      <c r="U338" s="19"/>
      <c r="V338" s="19"/>
      <c r="W338" s="20"/>
      <c r="X338" s="19"/>
      <c r="Y338" s="21"/>
      <c r="Z338" s="21"/>
      <c r="AA338" s="21"/>
      <c r="AB338" s="21"/>
      <c r="AC338" s="20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</row>
    <row r="339" spans="1:44" ht="15.6" x14ac:dyDescent="0.3">
      <c r="A339" s="19"/>
      <c r="B339" s="19"/>
      <c r="C339" s="20"/>
      <c r="D339" s="19"/>
      <c r="E339" s="20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20"/>
      <c r="Q339" s="19"/>
      <c r="R339" s="19"/>
      <c r="S339" s="19"/>
      <c r="T339" s="19"/>
      <c r="U339" s="19"/>
      <c r="V339" s="19"/>
      <c r="W339" s="20"/>
      <c r="X339" s="19"/>
      <c r="Y339" s="21"/>
      <c r="Z339" s="21"/>
      <c r="AA339" s="21"/>
      <c r="AB339" s="21"/>
      <c r="AC339" s="20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</row>
    <row r="340" spans="1:44" ht="15.6" x14ac:dyDescent="0.3">
      <c r="A340" s="19"/>
      <c r="B340" s="19"/>
      <c r="C340" s="20"/>
      <c r="D340" s="19"/>
      <c r="E340" s="20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20"/>
      <c r="Q340" s="19"/>
      <c r="R340" s="19"/>
      <c r="S340" s="19"/>
      <c r="T340" s="19"/>
      <c r="U340" s="19"/>
      <c r="V340" s="19"/>
      <c r="W340" s="20"/>
      <c r="X340" s="19"/>
      <c r="Y340" s="21"/>
      <c r="Z340" s="21"/>
      <c r="AA340" s="21"/>
      <c r="AB340" s="21"/>
      <c r="AC340" s="20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</row>
    <row r="341" spans="1:44" ht="15.6" x14ac:dyDescent="0.3">
      <c r="A341" s="19"/>
      <c r="B341" s="19"/>
      <c r="C341" s="20"/>
      <c r="D341" s="19"/>
      <c r="E341" s="20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20"/>
      <c r="Q341" s="19"/>
      <c r="R341" s="19"/>
      <c r="S341" s="19"/>
      <c r="T341" s="19"/>
      <c r="U341" s="19"/>
      <c r="V341" s="19"/>
      <c r="W341" s="20"/>
      <c r="X341" s="19"/>
      <c r="Y341" s="21"/>
      <c r="Z341" s="21"/>
      <c r="AA341" s="21"/>
      <c r="AB341" s="21"/>
      <c r="AC341" s="20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</row>
    <row r="342" spans="1:44" ht="15.6" x14ac:dyDescent="0.3">
      <c r="A342" s="19"/>
      <c r="B342" s="19"/>
      <c r="C342" s="20"/>
      <c r="D342" s="19"/>
      <c r="E342" s="20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20"/>
      <c r="Q342" s="19"/>
      <c r="R342" s="19"/>
      <c r="S342" s="19"/>
      <c r="T342" s="19"/>
      <c r="U342" s="19"/>
      <c r="V342" s="19"/>
      <c r="W342" s="20"/>
      <c r="X342" s="19"/>
      <c r="Y342" s="21"/>
      <c r="Z342" s="21"/>
      <c r="AA342" s="21"/>
      <c r="AB342" s="21"/>
      <c r="AC342" s="20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</row>
    <row r="343" spans="1:44" ht="15.6" x14ac:dyDescent="0.3">
      <c r="A343" s="19"/>
      <c r="B343" s="19"/>
      <c r="C343" s="20"/>
      <c r="D343" s="19"/>
      <c r="E343" s="20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20"/>
      <c r="Q343" s="19"/>
      <c r="R343" s="19"/>
      <c r="S343" s="19"/>
      <c r="T343" s="19"/>
      <c r="U343" s="19"/>
      <c r="V343" s="19"/>
      <c r="W343" s="20"/>
      <c r="X343" s="19"/>
      <c r="Y343" s="21"/>
      <c r="Z343" s="21"/>
      <c r="AA343" s="21"/>
      <c r="AB343" s="21"/>
      <c r="AC343" s="20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</row>
    <row r="344" spans="1:44" ht="15.6" x14ac:dyDescent="0.3">
      <c r="A344" s="19"/>
      <c r="B344" s="19"/>
      <c r="C344" s="20"/>
      <c r="D344" s="19"/>
      <c r="E344" s="20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20"/>
      <c r="Q344" s="19"/>
      <c r="R344" s="19"/>
      <c r="S344" s="19"/>
      <c r="T344" s="19"/>
      <c r="U344" s="19"/>
      <c r="V344" s="19"/>
      <c r="W344" s="20"/>
      <c r="X344" s="19"/>
      <c r="Y344" s="21"/>
      <c r="Z344" s="21"/>
      <c r="AA344" s="21"/>
      <c r="AB344" s="21"/>
      <c r="AC344" s="20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</row>
    <row r="345" spans="1:44" ht="15.6" x14ac:dyDescent="0.3">
      <c r="A345" s="19"/>
      <c r="B345" s="19"/>
      <c r="C345" s="20"/>
      <c r="D345" s="19"/>
      <c r="E345" s="20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20"/>
      <c r="Q345" s="19"/>
      <c r="R345" s="19"/>
      <c r="S345" s="19"/>
      <c r="T345" s="19"/>
      <c r="U345" s="19"/>
      <c r="V345" s="19"/>
      <c r="W345" s="20"/>
      <c r="X345" s="19"/>
      <c r="Y345" s="21"/>
      <c r="Z345" s="21"/>
      <c r="AA345" s="21"/>
      <c r="AB345" s="21"/>
      <c r="AC345" s="20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</row>
    <row r="346" spans="1:44" ht="15.6" x14ac:dyDescent="0.3">
      <c r="A346" s="19"/>
      <c r="B346" s="19"/>
      <c r="C346" s="20"/>
      <c r="D346" s="19"/>
      <c r="E346" s="20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20"/>
      <c r="Q346" s="19"/>
      <c r="R346" s="19"/>
      <c r="S346" s="19"/>
      <c r="T346" s="19"/>
      <c r="U346" s="19"/>
      <c r="V346" s="19"/>
      <c r="W346" s="20"/>
      <c r="X346" s="19"/>
      <c r="Y346" s="21"/>
      <c r="Z346" s="21"/>
      <c r="AA346" s="21"/>
      <c r="AB346" s="21"/>
      <c r="AC346" s="20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</row>
    <row r="347" spans="1:44" ht="15.6" x14ac:dyDescent="0.3">
      <c r="A347" s="19"/>
      <c r="B347" s="19"/>
      <c r="C347" s="20"/>
      <c r="D347" s="19"/>
      <c r="E347" s="20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20"/>
      <c r="Q347" s="19"/>
      <c r="R347" s="19"/>
      <c r="S347" s="19"/>
      <c r="T347" s="19"/>
      <c r="U347" s="19"/>
      <c r="V347" s="19"/>
      <c r="W347" s="20"/>
      <c r="X347" s="19"/>
      <c r="Y347" s="21"/>
      <c r="Z347" s="21"/>
      <c r="AA347" s="21"/>
      <c r="AB347" s="21"/>
      <c r="AC347" s="20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</row>
    <row r="348" spans="1:44" ht="15.6" x14ac:dyDescent="0.3">
      <c r="A348" s="19"/>
      <c r="B348" s="19"/>
      <c r="C348" s="20"/>
      <c r="D348" s="19"/>
      <c r="E348" s="20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20"/>
      <c r="Q348" s="19"/>
      <c r="R348" s="19"/>
      <c r="S348" s="19"/>
      <c r="T348" s="19"/>
      <c r="U348" s="19"/>
      <c r="V348" s="19"/>
      <c r="W348" s="20"/>
      <c r="X348" s="19"/>
      <c r="Y348" s="21"/>
      <c r="Z348" s="21"/>
      <c r="AA348" s="21"/>
      <c r="AB348" s="21"/>
      <c r="AC348" s="20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</row>
    <row r="349" spans="1:44" ht="15.6" x14ac:dyDescent="0.3">
      <c r="A349" s="19"/>
      <c r="B349" s="19"/>
      <c r="C349" s="20"/>
      <c r="D349" s="19"/>
      <c r="E349" s="20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20"/>
      <c r="Q349" s="19"/>
      <c r="R349" s="19"/>
      <c r="S349" s="19"/>
      <c r="T349" s="19"/>
      <c r="U349" s="19"/>
      <c r="V349" s="19"/>
      <c r="W349" s="20"/>
      <c r="X349" s="19"/>
      <c r="Y349" s="21"/>
      <c r="Z349" s="21"/>
      <c r="AA349" s="21"/>
      <c r="AB349" s="21"/>
      <c r="AC349" s="20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</row>
    <row r="350" spans="1:44" ht="15.6" x14ac:dyDescent="0.3">
      <c r="A350" s="19"/>
      <c r="B350" s="19"/>
      <c r="C350" s="20"/>
      <c r="D350" s="19"/>
      <c r="E350" s="20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20"/>
      <c r="Q350" s="19"/>
      <c r="R350" s="19"/>
      <c r="S350" s="19"/>
      <c r="T350" s="19"/>
      <c r="U350" s="19"/>
      <c r="V350" s="19"/>
      <c r="W350" s="20"/>
      <c r="X350" s="19"/>
      <c r="Y350" s="21"/>
      <c r="Z350" s="21"/>
      <c r="AA350" s="21"/>
      <c r="AB350" s="21"/>
      <c r="AC350" s="20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</row>
    <row r="351" spans="1:44" ht="15.6" x14ac:dyDescent="0.3">
      <c r="A351" s="19"/>
      <c r="B351" s="19"/>
      <c r="C351" s="20"/>
      <c r="D351" s="19"/>
      <c r="E351" s="20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20"/>
      <c r="Q351" s="19"/>
      <c r="R351" s="19"/>
      <c r="S351" s="19"/>
      <c r="T351" s="19"/>
      <c r="U351" s="19"/>
      <c r="V351" s="19"/>
      <c r="W351" s="20"/>
      <c r="X351" s="19"/>
      <c r="Y351" s="21"/>
      <c r="Z351" s="21"/>
      <c r="AA351" s="21"/>
      <c r="AB351" s="21"/>
      <c r="AC351" s="20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</row>
    <row r="352" spans="1:44" ht="15.6" x14ac:dyDescent="0.3">
      <c r="A352" s="19"/>
      <c r="B352" s="19"/>
      <c r="C352" s="20"/>
      <c r="D352" s="19"/>
      <c r="E352" s="20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20"/>
      <c r="Q352" s="19"/>
      <c r="R352" s="19"/>
      <c r="S352" s="19"/>
      <c r="T352" s="19"/>
      <c r="U352" s="19"/>
      <c r="V352" s="19"/>
      <c r="W352" s="20"/>
      <c r="X352" s="19"/>
      <c r="Y352" s="21"/>
      <c r="Z352" s="21"/>
      <c r="AA352" s="21"/>
      <c r="AB352" s="21"/>
      <c r="AC352" s="20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</row>
    <row r="353" spans="1:44" ht="15.6" x14ac:dyDescent="0.3">
      <c r="A353" s="19"/>
      <c r="B353" s="19"/>
      <c r="C353" s="20"/>
      <c r="D353" s="19"/>
      <c r="E353" s="20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20"/>
      <c r="Q353" s="19"/>
      <c r="R353" s="19"/>
      <c r="S353" s="19"/>
      <c r="T353" s="19"/>
      <c r="U353" s="19"/>
      <c r="V353" s="19"/>
      <c r="W353" s="20"/>
      <c r="X353" s="19"/>
      <c r="Y353" s="21"/>
      <c r="Z353" s="21"/>
      <c r="AA353" s="21"/>
      <c r="AB353" s="21"/>
      <c r="AC353" s="20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</row>
    <row r="354" spans="1:44" ht="15.6" x14ac:dyDescent="0.3">
      <c r="A354" s="19"/>
      <c r="B354" s="19"/>
      <c r="C354" s="20"/>
      <c r="D354" s="19"/>
      <c r="E354" s="20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20"/>
      <c r="Q354" s="19"/>
      <c r="R354" s="19"/>
      <c r="S354" s="19"/>
      <c r="T354" s="19"/>
      <c r="U354" s="19"/>
      <c r="V354" s="19"/>
      <c r="W354" s="20"/>
      <c r="X354" s="19"/>
      <c r="Y354" s="21"/>
      <c r="Z354" s="21"/>
      <c r="AA354" s="21"/>
      <c r="AB354" s="21"/>
      <c r="AC354" s="20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</row>
    <row r="355" spans="1:44" ht="15.6" x14ac:dyDescent="0.3">
      <c r="A355" s="19"/>
      <c r="B355" s="19"/>
      <c r="C355" s="20"/>
      <c r="D355" s="19"/>
      <c r="E355" s="20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20"/>
      <c r="Q355" s="19"/>
      <c r="R355" s="19"/>
      <c r="S355" s="19"/>
      <c r="T355" s="19"/>
      <c r="U355" s="19"/>
      <c r="V355" s="19"/>
      <c r="W355" s="20"/>
      <c r="X355" s="19"/>
      <c r="Y355" s="21"/>
      <c r="Z355" s="21"/>
      <c r="AA355" s="21"/>
      <c r="AB355" s="21"/>
      <c r="AC355" s="20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</row>
    <row r="356" spans="1:44" ht="15.6" x14ac:dyDescent="0.3">
      <c r="A356" s="19"/>
      <c r="B356" s="19"/>
      <c r="C356" s="20"/>
      <c r="D356" s="19"/>
      <c r="E356" s="20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20"/>
      <c r="Q356" s="19"/>
      <c r="R356" s="19"/>
      <c r="S356" s="19"/>
      <c r="T356" s="19"/>
      <c r="U356" s="19"/>
      <c r="V356" s="19"/>
      <c r="W356" s="20"/>
      <c r="X356" s="19"/>
      <c r="Y356" s="21"/>
      <c r="Z356" s="21"/>
      <c r="AA356" s="21"/>
      <c r="AB356" s="21"/>
      <c r="AC356" s="20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</row>
    <row r="357" spans="1:44" ht="15.6" x14ac:dyDescent="0.3">
      <c r="A357" s="19"/>
      <c r="B357" s="19"/>
      <c r="C357" s="20"/>
      <c r="D357" s="19"/>
      <c r="E357" s="20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20"/>
      <c r="Q357" s="19"/>
      <c r="R357" s="19"/>
      <c r="S357" s="19"/>
      <c r="T357" s="19"/>
      <c r="U357" s="19"/>
      <c r="V357" s="19"/>
      <c r="W357" s="20"/>
      <c r="X357" s="19"/>
      <c r="Y357" s="21"/>
      <c r="Z357" s="21"/>
      <c r="AA357" s="21"/>
      <c r="AB357" s="21"/>
      <c r="AC357" s="20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</row>
    <row r="358" spans="1:44" ht="15.6" x14ac:dyDescent="0.3">
      <c r="A358" s="19"/>
      <c r="B358" s="19"/>
      <c r="C358" s="20"/>
      <c r="D358" s="19"/>
      <c r="E358" s="20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20"/>
      <c r="Q358" s="19"/>
      <c r="R358" s="19"/>
      <c r="S358" s="19"/>
      <c r="T358" s="19"/>
      <c r="U358" s="19"/>
      <c r="V358" s="19"/>
      <c r="W358" s="20"/>
      <c r="X358" s="19"/>
      <c r="Y358" s="21"/>
      <c r="Z358" s="21"/>
      <c r="AA358" s="21"/>
      <c r="AB358" s="21"/>
      <c r="AC358" s="20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</row>
    <row r="359" spans="1:44" ht="15.6" x14ac:dyDescent="0.3">
      <c r="A359" s="19"/>
      <c r="B359" s="19"/>
      <c r="C359" s="20"/>
      <c r="D359" s="19"/>
      <c r="E359" s="20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20"/>
      <c r="Q359" s="19"/>
      <c r="R359" s="19"/>
      <c r="S359" s="19"/>
      <c r="T359" s="19"/>
      <c r="U359" s="19"/>
      <c r="V359" s="19"/>
      <c r="W359" s="20"/>
      <c r="X359" s="19"/>
      <c r="Y359" s="21"/>
      <c r="Z359" s="21"/>
      <c r="AA359" s="21"/>
      <c r="AB359" s="21"/>
      <c r="AC359" s="20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</row>
    <row r="360" spans="1:44" ht="15.6" x14ac:dyDescent="0.3">
      <c r="A360" s="19"/>
      <c r="B360" s="19"/>
      <c r="C360" s="20"/>
      <c r="D360" s="19"/>
      <c r="E360" s="20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20"/>
      <c r="Q360" s="19"/>
      <c r="R360" s="19"/>
      <c r="S360" s="19"/>
      <c r="T360" s="19"/>
      <c r="U360" s="19"/>
      <c r="V360" s="19"/>
      <c r="W360" s="20"/>
      <c r="X360" s="19"/>
      <c r="Y360" s="21"/>
      <c r="Z360" s="21"/>
      <c r="AA360" s="21"/>
      <c r="AB360" s="21"/>
      <c r="AC360" s="20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</row>
    <row r="361" spans="1:44" ht="15.6" x14ac:dyDescent="0.3">
      <c r="A361" s="19"/>
      <c r="B361" s="19"/>
      <c r="C361" s="20"/>
      <c r="D361" s="19"/>
      <c r="E361" s="20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20"/>
      <c r="Q361" s="19"/>
      <c r="R361" s="19"/>
      <c r="S361" s="19"/>
      <c r="T361" s="19"/>
      <c r="U361" s="19"/>
      <c r="V361" s="19"/>
      <c r="W361" s="20"/>
      <c r="X361" s="19"/>
      <c r="Y361" s="21"/>
      <c r="Z361" s="21"/>
      <c r="AA361" s="21"/>
      <c r="AB361" s="21"/>
      <c r="AC361" s="20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</row>
    <row r="362" spans="1:44" ht="15.6" x14ac:dyDescent="0.3">
      <c r="A362" s="19"/>
      <c r="B362" s="19"/>
      <c r="C362" s="20"/>
      <c r="D362" s="19"/>
      <c r="E362" s="20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20"/>
      <c r="Q362" s="19"/>
      <c r="R362" s="19"/>
      <c r="S362" s="19"/>
      <c r="T362" s="19"/>
      <c r="U362" s="19"/>
      <c r="V362" s="19"/>
      <c r="W362" s="20"/>
      <c r="X362" s="19"/>
      <c r="Y362" s="21"/>
      <c r="Z362" s="21"/>
      <c r="AA362" s="21"/>
      <c r="AB362" s="21"/>
      <c r="AC362" s="20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</row>
    <row r="363" spans="1:44" ht="15.6" x14ac:dyDescent="0.3">
      <c r="A363" s="19"/>
      <c r="B363" s="19"/>
      <c r="C363" s="20"/>
      <c r="D363" s="19"/>
      <c r="E363" s="20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20"/>
      <c r="Q363" s="19"/>
      <c r="R363" s="19"/>
      <c r="S363" s="19"/>
      <c r="T363" s="19"/>
      <c r="U363" s="19"/>
      <c r="V363" s="19"/>
      <c r="W363" s="20"/>
      <c r="X363" s="19"/>
      <c r="Y363" s="21"/>
      <c r="Z363" s="21"/>
      <c r="AA363" s="21"/>
      <c r="AB363" s="21"/>
      <c r="AC363" s="20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</row>
    <row r="364" spans="1:44" ht="15.6" x14ac:dyDescent="0.3">
      <c r="A364" s="19"/>
      <c r="B364" s="19"/>
      <c r="C364" s="20"/>
      <c r="D364" s="19"/>
      <c r="E364" s="20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20"/>
      <c r="Q364" s="19"/>
      <c r="R364" s="19"/>
      <c r="S364" s="19"/>
      <c r="T364" s="19"/>
      <c r="U364" s="19"/>
      <c r="V364" s="19"/>
      <c r="W364" s="20"/>
      <c r="X364" s="19"/>
      <c r="Y364" s="21"/>
      <c r="Z364" s="21"/>
      <c r="AA364" s="21"/>
      <c r="AB364" s="21"/>
      <c r="AC364" s="20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</row>
    <row r="365" spans="1:44" ht="15.6" x14ac:dyDescent="0.3">
      <c r="A365" s="19"/>
      <c r="B365" s="19"/>
      <c r="C365" s="20"/>
      <c r="D365" s="19"/>
      <c r="E365" s="20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20"/>
      <c r="Q365" s="19"/>
      <c r="R365" s="19"/>
      <c r="S365" s="19"/>
      <c r="T365" s="19"/>
      <c r="U365" s="19"/>
      <c r="V365" s="19"/>
      <c r="W365" s="20"/>
      <c r="X365" s="19"/>
      <c r="Y365" s="21"/>
      <c r="Z365" s="21"/>
      <c r="AA365" s="21"/>
      <c r="AB365" s="21"/>
      <c r="AC365" s="20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</row>
    <row r="366" spans="1:44" ht="15.6" x14ac:dyDescent="0.3">
      <c r="A366" s="19"/>
      <c r="B366" s="19"/>
      <c r="C366" s="20"/>
      <c r="D366" s="19"/>
      <c r="E366" s="20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20"/>
      <c r="Q366" s="19"/>
      <c r="R366" s="19"/>
      <c r="S366" s="19"/>
      <c r="T366" s="19"/>
      <c r="U366" s="19"/>
      <c r="V366" s="19"/>
      <c r="W366" s="20"/>
      <c r="X366" s="19"/>
      <c r="Y366" s="21"/>
      <c r="Z366" s="21"/>
      <c r="AA366" s="21"/>
      <c r="AB366" s="21"/>
      <c r="AC366" s="20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</row>
    <row r="367" spans="1:44" ht="15.6" x14ac:dyDescent="0.3">
      <c r="A367" s="19"/>
      <c r="B367" s="19"/>
      <c r="C367" s="20"/>
      <c r="D367" s="19"/>
      <c r="E367" s="20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20"/>
      <c r="Q367" s="19"/>
      <c r="R367" s="19"/>
      <c r="S367" s="19"/>
      <c r="T367" s="19"/>
      <c r="U367" s="19"/>
      <c r="V367" s="19"/>
      <c r="W367" s="20"/>
      <c r="X367" s="19"/>
      <c r="Y367" s="21"/>
      <c r="Z367" s="21"/>
      <c r="AA367" s="21"/>
      <c r="AB367" s="21"/>
      <c r="AC367" s="20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</row>
    <row r="368" spans="1:44" ht="15.6" x14ac:dyDescent="0.3">
      <c r="A368" s="19"/>
      <c r="B368" s="19"/>
      <c r="C368" s="20"/>
      <c r="D368" s="19"/>
      <c r="E368" s="20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20"/>
      <c r="Q368" s="19"/>
      <c r="R368" s="19"/>
      <c r="S368" s="19"/>
      <c r="T368" s="19"/>
      <c r="U368" s="19"/>
      <c r="V368" s="19"/>
      <c r="W368" s="20"/>
      <c r="X368" s="19"/>
      <c r="Y368" s="21"/>
      <c r="Z368" s="21"/>
      <c r="AA368" s="21"/>
      <c r="AB368" s="21"/>
      <c r="AC368" s="20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</row>
    <row r="369" spans="1:44" ht="15.6" x14ac:dyDescent="0.3">
      <c r="A369" s="19"/>
      <c r="B369" s="19"/>
      <c r="C369" s="20"/>
      <c r="D369" s="19"/>
      <c r="E369" s="20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20"/>
      <c r="Q369" s="19"/>
      <c r="R369" s="19"/>
      <c r="S369" s="19"/>
      <c r="T369" s="19"/>
      <c r="U369" s="19"/>
      <c r="V369" s="19"/>
      <c r="W369" s="20"/>
      <c r="X369" s="19"/>
      <c r="Y369" s="21"/>
      <c r="Z369" s="21"/>
      <c r="AA369" s="21"/>
      <c r="AB369" s="21"/>
      <c r="AC369" s="20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</row>
    <row r="370" spans="1:44" ht="15.6" x14ac:dyDescent="0.3">
      <c r="A370" s="19"/>
      <c r="B370" s="19"/>
      <c r="C370" s="20"/>
      <c r="D370" s="19"/>
      <c r="E370" s="20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20"/>
      <c r="Q370" s="19"/>
      <c r="R370" s="19"/>
      <c r="S370" s="19"/>
      <c r="T370" s="19"/>
      <c r="U370" s="19"/>
      <c r="V370" s="19"/>
      <c r="W370" s="20"/>
      <c r="X370" s="19"/>
      <c r="Y370" s="21"/>
      <c r="Z370" s="21"/>
      <c r="AA370" s="21"/>
      <c r="AB370" s="21"/>
      <c r="AC370" s="20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</row>
    <row r="371" spans="1:44" ht="15.6" x14ac:dyDescent="0.3">
      <c r="A371" s="19"/>
      <c r="B371" s="19"/>
      <c r="C371" s="20"/>
      <c r="D371" s="19"/>
      <c r="E371" s="20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20"/>
      <c r="Q371" s="19"/>
      <c r="R371" s="19"/>
      <c r="S371" s="19"/>
      <c r="T371" s="19"/>
      <c r="U371" s="19"/>
      <c r="V371" s="19"/>
      <c r="W371" s="20"/>
      <c r="X371" s="19"/>
      <c r="Y371" s="21"/>
      <c r="Z371" s="21"/>
      <c r="AA371" s="21"/>
      <c r="AB371" s="21"/>
      <c r="AC371" s="20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</row>
    <row r="372" spans="1:44" ht="15.6" x14ac:dyDescent="0.3">
      <c r="A372" s="19"/>
      <c r="B372" s="19"/>
      <c r="C372" s="20"/>
      <c r="D372" s="19"/>
      <c r="E372" s="20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20"/>
      <c r="Q372" s="19"/>
      <c r="R372" s="19"/>
      <c r="S372" s="19"/>
      <c r="T372" s="19"/>
      <c r="U372" s="19"/>
      <c r="V372" s="19"/>
      <c r="W372" s="20"/>
      <c r="X372" s="19"/>
      <c r="Y372" s="21"/>
      <c r="Z372" s="21"/>
      <c r="AA372" s="21"/>
      <c r="AB372" s="21"/>
      <c r="AC372" s="20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</row>
    <row r="373" spans="1:44" ht="15.6" x14ac:dyDescent="0.3">
      <c r="A373" s="19"/>
      <c r="B373" s="19"/>
      <c r="C373" s="20"/>
      <c r="D373" s="19"/>
      <c r="E373" s="20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20"/>
      <c r="Q373" s="19"/>
      <c r="R373" s="19"/>
      <c r="S373" s="19"/>
      <c r="T373" s="19"/>
      <c r="U373" s="19"/>
      <c r="V373" s="19"/>
      <c r="W373" s="20"/>
      <c r="X373" s="19"/>
      <c r="Y373" s="21"/>
      <c r="Z373" s="21"/>
      <c r="AA373" s="21"/>
      <c r="AB373" s="21"/>
      <c r="AC373" s="20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</row>
    <row r="374" spans="1:44" ht="15.6" x14ac:dyDescent="0.3">
      <c r="A374" s="19"/>
      <c r="B374" s="19"/>
      <c r="C374" s="20"/>
      <c r="D374" s="19"/>
      <c r="E374" s="20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20"/>
      <c r="Q374" s="19"/>
      <c r="R374" s="19"/>
      <c r="S374" s="19"/>
      <c r="T374" s="19"/>
      <c r="U374" s="19"/>
      <c r="V374" s="19"/>
      <c r="W374" s="20"/>
      <c r="X374" s="19"/>
      <c r="Y374" s="21"/>
      <c r="Z374" s="21"/>
      <c r="AA374" s="21"/>
      <c r="AB374" s="21"/>
      <c r="AC374" s="20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</row>
    <row r="375" spans="1:44" ht="15.6" x14ac:dyDescent="0.3">
      <c r="A375" s="19"/>
      <c r="B375" s="19"/>
      <c r="C375" s="20"/>
      <c r="D375" s="19"/>
      <c r="E375" s="20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20"/>
      <c r="Q375" s="19"/>
      <c r="R375" s="19"/>
      <c r="S375" s="19"/>
      <c r="T375" s="19"/>
      <c r="U375" s="19"/>
      <c r="V375" s="19"/>
      <c r="W375" s="20"/>
      <c r="X375" s="19"/>
      <c r="Y375" s="21"/>
      <c r="Z375" s="21"/>
      <c r="AA375" s="21"/>
      <c r="AB375" s="21"/>
      <c r="AC375" s="20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</row>
    <row r="376" spans="1:44" ht="15.6" x14ac:dyDescent="0.3">
      <c r="A376" s="19"/>
      <c r="B376" s="19"/>
      <c r="C376" s="20"/>
      <c r="D376" s="19"/>
      <c r="E376" s="20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20"/>
      <c r="Q376" s="19"/>
      <c r="R376" s="19"/>
      <c r="S376" s="19"/>
      <c r="T376" s="19"/>
      <c r="U376" s="19"/>
      <c r="V376" s="19"/>
      <c r="W376" s="20"/>
      <c r="X376" s="19"/>
      <c r="Y376" s="21"/>
      <c r="Z376" s="21"/>
      <c r="AA376" s="21"/>
      <c r="AB376" s="21"/>
      <c r="AC376" s="20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</row>
    <row r="377" spans="1:44" ht="15.6" x14ac:dyDescent="0.3">
      <c r="A377" s="19"/>
      <c r="B377" s="19"/>
      <c r="C377" s="20"/>
      <c r="D377" s="19"/>
      <c r="E377" s="20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20"/>
      <c r="Q377" s="19"/>
      <c r="R377" s="19"/>
      <c r="S377" s="19"/>
      <c r="T377" s="19"/>
      <c r="U377" s="19"/>
      <c r="V377" s="19"/>
      <c r="W377" s="20"/>
      <c r="X377" s="19"/>
      <c r="Y377" s="21"/>
      <c r="Z377" s="21"/>
      <c r="AA377" s="21"/>
      <c r="AB377" s="21"/>
      <c r="AC377" s="20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</row>
    <row r="378" spans="1:44" ht="15.6" x14ac:dyDescent="0.3">
      <c r="A378" s="19"/>
      <c r="B378" s="19"/>
      <c r="C378" s="20"/>
      <c r="D378" s="19"/>
      <c r="E378" s="20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20"/>
      <c r="Q378" s="19"/>
      <c r="R378" s="19"/>
      <c r="S378" s="19"/>
      <c r="T378" s="19"/>
      <c r="U378" s="19"/>
      <c r="V378" s="19"/>
      <c r="W378" s="20"/>
      <c r="X378" s="19"/>
      <c r="Y378" s="21"/>
      <c r="Z378" s="21"/>
      <c r="AA378" s="21"/>
      <c r="AB378" s="21"/>
      <c r="AC378" s="20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</row>
    <row r="379" spans="1:44" ht="15.6" x14ac:dyDescent="0.3">
      <c r="A379" s="19"/>
      <c r="B379" s="19"/>
      <c r="C379" s="20"/>
      <c r="D379" s="19"/>
      <c r="E379" s="20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20"/>
      <c r="Q379" s="19"/>
      <c r="R379" s="19"/>
      <c r="S379" s="19"/>
      <c r="T379" s="19"/>
      <c r="U379" s="19"/>
      <c r="V379" s="19"/>
      <c r="W379" s="20"/>
      <c r="X379" s="19"/>
      <c r="Y379" s="21"/>
      <c r="Z379" s="21"/>
      <c r="AA379" s="21"/>
      <c r="AB379" s="21"/>
      <c r="AC379" s="20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</row>
    <row r="380" spans="1:44" ht="15.6" x14ac:dyDescent="0.3">
      <c r="A380" s="19"/>
      <c r="B380" s="19"/>
      <c r="C380" s="20"/>
      <c r="D380" s="19"/>
      <c r="E380" s="20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20"/>
      <c r="Q380" s="19"/>
      <c r="R380" s="19"/>
      <c r="S380" s="19"/>
      <c r="T380" s="19"/>
      <c r="U380" s="19"/>
      <c r="V380" s="19"/>
      <c r="W380" s="20"/>
      <c r="X380" s="19"/>
      <c r="Y380" s="21"/>
      <c r="Z380" s="21"/>
      <c r="AA380" s="21"/>
      <c r="AB380" s="21"/>
      <c r="AC380" s="20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</row>
    <row r="381" spans="1:44" ht="15.6" x14ac:dyDescent="0.3">
      <c r="A381" s="19"/>
      <c r="B381" s="19"/>
      <c r="C381" s="20"/>
      <c r="D381" s="19"/>
      <c r="E381" s="20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20"/>
      <c r="Q381" s="19"/>
      <c r="R381" s="19"/>
      <c r="S381" s="19"/>
      <c r="T381" s="19"/>
      <c r="U381" s="19"/>
      <c r="V381" s="19"/>
      <c r="W381" s="20"/>
      <c r="X381" s="19"/>
      <c r="Y381" s="21"/>
      <c r="Z381" s="21"/>
      <c r="AA381" s="21"/>
      <c r="AB381" s="21"/>
      <c r="AC381" s="20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</row>
    <row r="382" spans="1:44" ht="15.6" x14ac:dyDescent="0.3">
      <c r="A382" s="19"/>
      <c r="B382" s="19"/>
      <c r="C382" s="20"/>
      <c r="D382" s="19"/>
      <c r="E382" s="20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20"/>
      <c r="Q382" s="19"/>
      <c r="R382" s="19"/>
      <c r="S382" s="19"/>
      <c r="T382" s="19"/>
      <c r="U382" s="19"/>
      <c r="V382" s="19"/>
      <c r="W382" s="20"/>
      <c r="X382" s="19"/>
      <c r="Y382" s="21"/>
      <c r="Z382" s="21"/>
      <c r="AA382" s="21"/>
      <c r="AB382" s="21"/>
      <c r="AC382" s="20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</row>
    <row r="383" spans="1:44" ht="15.6" x14ac:dyDescent="0.3">
      <c r="A383" s="19"/>
      <c r="B383" s="19"/>
      <c r="C383" s="20"/>
      <c r="D383" s="19"/>
      <c r="E383" s="20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20"/>
      <c r="Q383" s="19"/>
      <c r="R383" s="19"/>
      <c r="S383" s="19"/>
      <c r="T383" s="19"/>
      <c r="U383" s="19"/>
      <c r="V383" s="19"/>
      <c r="W383" s="20"/>
      <c r="X383" s="19"/>
      <c r="Y383" s="21"/>
      <c r="Z383" s="21"/>
      <c r="AA383" s="21"/>
      <c r="AB383" s="21"/>
      <c r="AC383" s="20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</row>
    <row r="384" spans="1:44" ht="15.6" x14ac:dyDescent="0.3">
      <c r="A384" s="19"/>
      <c r="B384" s="19"/>
      <c r="C384" s="20"/>
      <c r="D384" s="19"/>
      <c r="E384" s="20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20"/>
      <c r="Q384" s="19"/>
      <c r="R384" s="19"/>
      <c r="S384" s="19"/>
      <c r="T384" s="19"/>
      <c r="U384" s="19"/>
      <c r="V384" s="19"/>
      <c r="W384" s="20"/>
      <c r="X384" s="19"/>
      <c r="Y384" s="21"/>
      <c r="Z384" s="21"/>
      <c r="AA384" s="21"/>
      <c r="AB384" s="21"/>
      <c r="AC384" s="20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</row>
    <row r="385" spans="1:44" ht="15.6" x14ac:dyDescent="0.3">
      <c r="A385" s="19"/>
      <c r="B385" s="19"/>
      <c r="C385" s="20"/>
      <c r="D385" s="19"/>
      <c r="E385" s="20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20"/>
      <c r="Q385" s="19"/>
      <c r="R385" s="19"/>
      <c r="S385" s="19"/>
      <c r="T385" s="19"/>
      <c r="U385" s="19"/>
      <c r="V385" s="19"/>
      <c r="W385" s="20"/>
      <c r="X385" s="19"/>
      <c r="Y385" s="21"/>
      <c r="Z385" s="21"/>
      <c r="AA385" s="21"/>
      <c r="AB385" s="21"/>
      <c r="AC385" s="20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</row>
    <row r="386" spans="1:44" ht="15.6" x14ac:dyDescent="0.3">
      <c r="A386" s="19"/>
      <c r="B386" s="19"/>
      <c r="C386" s="20"/>
      <c r="D386" s="19"/>
      <c r="E386" s="20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20"/>
      <c r="Q386" s="19"/>
      <c r="R386" s="19"/>
      <c r="S386" s="19"/>
      <c r="T386" s="19"/>
      <c r="U386" s="19"/>
      <c r="V386" s="19"/>
      <c r="W386" s="20"/>
      <c r="X386" s="19"/>
      <c r="Y386" s="21"/>
      <c r="Z386" s="21"/>
      <c r="AA386" s="21"/>
      <c r="AB386" s="21"/>
      <c r="AC386" s="20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</row>
    <row r="387" spans="1:44" ht="15.6" x14ac:dyDescent="0.3">
      <c r="A387" s="19"/>
      <c r="B387" s="19"/>
      <c r="C387" s="20"/>
      <c r="D387" s="19"/>
      <c r="E387" s="20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20"/>
      <c r="Q387" s="19"/>
      <c r="R387" s="19"/>
      <c r="S387" s="19"/>
      <c r="T387" s="19"/>
      <c r="U387" s="19"/>
      <c r="V387" s="19"/>
      <c r="W387" s="20"/>
      <c r="X387" s="19"/>
      <c r="Y387" s="21"/>
      <c r="Z387" s="21"/>
      <c r="AA387" s="21"/>
      <c r="AB387" s="21"/>
      <c r="AC387" s="20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</row>
    <row r="388" spans="1:44" ht="15.6" x14ac:dyDescent="0.3">
      <c r="A388" s="19"/>
      <c r="B388" s="19"/>
      <c r="C388" s="20"/>
      <c r="D388" s="19"/>
      <c r="E388" s="20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20"/>
      <c r="Q388" s="19"/>
      <c r="R388" s="19"/>
      <c r="S388" s="19"/>
      <c r="T388" s="19"/>
      <c r="U388" s="19"/>
      <c r="V388" s="19"/>
      <c r="W388" s="20"/>
      <c r="X388" s="19"/>
      <c r="Y388" s="21"/>
      <c r="Z388" s="21"/>
      <c r="AA388" s="21"/>
      <c r="AB388" s="21"/>
      <c r="AC388" s="20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</row>
    <row r="389" spans="1:44" ht="15.6" x14ac:dyDescent="0.3">
      <c r="A389" s="19"/>
      <c r="B389" s="19"/>
      <c r="C389" s="20"/>
      <c r="D389" s="19"/>
      <c r="E389" s="20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20"/>
      <c r="Q389" s="19"/>
      <c r="R389" s="19"/>
      <c r="S389" s="19"/>
      <c r="T389" s="19"/>
      <c r="U389" s="19"/>
      <c r="V389" s="19"/>
      <c r="W389" s="20"/>
      <c r="X389" s="19"/>
      <c r="Y389" s="21"/>
      <c r="Z389" s="21"/>
      <c r="AA389" s="21"/>
      <c r="AB389" s="21"/>
      <c r="AC389" s="20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</row>
    <row r="390" spans="1:44" ht="15.6" x14ac:dyDescent="0.3">
      <c r="A390" s="19"/>
      <c r="B390" s="19"/>
      <c r="C390" s="20"/>
      <c r="D390" s="19"/>
      <c r="E390" s="20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20"/>
      <c r="Q390" s="19"/>
      <c r="R390" s="19"/>
      <c r="S390" s="19"/>
      <c r="T390" s="19"/>
      <c r="U390" s="19"/>
      <c r="V390" s="19"/>
      <c r="W390" s="20"/>
      <c r="X390" s="19"/>
      <c r="Y390" s="21"/>
      <c r="Z390" s="21"/>
      <c r="AA390" s="21"/>
      <c r="AB390" s="21"/>
      <c r="AC390" s="20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</row>
    <row r="391" spans="1:44" ht="15.6" x14ac:dyDescent="0.3">
      <c r="A391" s="19"/>
      <c r="B391" s="19"/>
      <c r="C391" s="20"/>
      <c r="D391" s="19"/>
      <c r="E391" s="20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20"/>
      <c r="Q391" s="19"/>
      <c r="R391" s="19"/>
      <c r="S391" s="19"/>
      <c r="T391" s="19"/>
      <c r="U391" s="19"/>
      <c r="V391" s="19"/>
      <c r="W391" s="20"/>
      <c r="X391" s="19"/>
      <c r="Y391" s="21"/>
      <c r="Z391" s="21"/>
      <c r="AA391" s="21"/>
      <c r="AB391" s="21"/>
      <c r="AC391" s="20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</row>
    <row r="392" spans="1:44" ht="15.6" x14ac:dyDescent="0.3">
      <c r="A392" s="19"/>
      <c r="B392" s="19"/>
      <c r="C392" s="20"/>
      <c r="D392" s="19"/>
      <c r="E392" s="20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20"/>
      <c r="Q392" s="19"/>
      <c r="R392" s="19"/>
      <c r="S392" s="19"/>
      <c r="T392" s="19"/>
      <c r="U392" s="19"/>
      <c r="V392" s="19"/>
      <c r="W392" s="20"/>
      <c r="X392" s="19"/>
      <c r="Y392" s="21"/>
      <c r="Z392" s="21"/>
      <c r="AA392" s="21"/>
      <c r="AB392" s="21"/>
      <c r="AC392" s="20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</row>
    <row r="393" spans="1:44" ht="15.6" x14ac:dyDescent="0.3">
      <c r="A393" s="19"/>
      <c r="B393" s="19"/>
      <c r="C393" s="20"/>
      <c r="D393" s="19"/>
      <c r="E393" s="20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20"/>
      <c r="Q393" s="19"/>
      <c r="R393" s="19"/>
      <c r="S393" s="19"/>
      <c r="T393" s="19"/>
      <c r="U393" s="19"/>
      <c r="V393" s="19"/>
      <c r="W393" s="20"/>
      <c r="X393" s="19"/>
      <c r="Y393" s="21"/>
      <c r="Z393" s="21"/>
      <c r="AA393" s="21"/>
      <c r="AB393" s="21"/>
      <c r="AC393" s="20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</row>
    <row r="394" spans="1:44" ht="15.6" x14ac:dyDescent="0.3">
      <c r="A394" s="19"/>
      <c r="B394" s="19"/>
      <c r="C394" s="20"/>
      <c r="D394" s="19"/>
      <c r="E394" s="20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20"/>
      <c r="Q394" s="19"/>
      <c r="R394" s="19"/>
      <c r="S394" s="19"/>
      <c r="T394" s="19"/>
      <c r="U394" s="19"/>
      <c r="V394" s="19"/>
      <c r="W394" s="20"/>
      <c r="X394" s="19"/>
      <c r="Y394" s="21"/>
      <c r="Z394" s="21"/>
      <c r="AA394" s="21"/>
      <c r="AB394" s="21"/>
      <c r="AC394" s="20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</row>
    <row r="395" spans="1:44" ht="15.6" x14ac:dyDescent="0.3">
      <c r="A395" s="19"/>
      <c r="B395" s="19"/>
      <c r="C395" s="20"/>
      <c r="D395" s="19"/>
      <c r="E395" s="20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20"/>
      <c r="Q395" s="19"/>
      <c r="R395" s="19"/>
      <c r="S395" s="19"/>
      <c r="T395" s="19"/>
      <c r="U395" s="19"/>
      <c r="V395" s="19"/>
      <c r="W395" s="20"/>
      <c r="X395" s="19"/>
      <c r="Y395" s="21"/>
      <c r="Z395" s="21"/>
      <c r="AA395" s="21"/>
      <c r="AB395" s="21"/>
      <c r="AC395" s="20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</row>
    <row r="396" spans="1:44" ht="15.6" x14ac:dyDescent="0.3">
      <c r="A396" s="19"/>
      <c r="B396" s="19"/>
      <c r="C396" s="20"/>
      <c r="D396" s="19"/>
      <c r="E396" s="20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20"/>
      <c r="Q396" s="19"/>
      <c r="R396" s="19"/>
      <c r="S396" s="19"/>
      <c r="T396" s="19"/>
      <c r="U396" s="19"/>
      <c r="V396" s="19"/>
      <c r="W396" s="20"/>
      <c r="X396" s="19"/>
      <c r="Y396" s="21"/>
      <c r="Z396" s="21"/>
      <c r="AA396" s="21"/>
      <c r="AB396" s="21"/>
      <c r="AC396" s="20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</row>
    <row r="397" spans="1:44" ht="15.6" x14ac:dyDescent="0.3">
      <c r="A397" s="19"/>
      <c r="B397" s="19"/>
      <c r="C397" s="20"/>
      <c r="D397" s="19"/>
      <c r="E397" s="20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20"/>
      <c r="Q397" s="19"/>
      <c r="R397" s="19"/>
      <c r="S397" s="19"/>
      <c r="T397" s="19"/>
      <c r="U397" s="19"/>
      <c r="V397" s="19"/>
      <c r="W397" s="20"/>
      <c r="X397" s="19"/>
      <c r="Y397" s="21"/>
      <c r="Z397" s="21"/>
      <c r="AA397" s="21"/>
      <c r="AB397" s="21"/>
      <c r="AC397" s="20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</row>
    <row r="398" spans="1:44" ht="15.6" x14ac:dyDescent="0.3">
      <c r="A398" s="19"/>
      <c r="B398" s="19"/>
      <c r="C398" s="20"/>
      <c r="D398" s="19"/>
      <c r="E398" s="20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20"/>
      <c r="Q398" s="19"/>
      <c r="R398" s="19"/>
      <c r="S398" s="19"/>
      <c r="T398" s="19"/>
      <c r="U398" s="19"/>
      <c r="V398" s="19"/>
      <c r="W398" s="20"/>
      <c r="X398" s="19"/>
      <c r="Y398" s="21"/>
      <c r="Z398" s="21"/>
      <c r="AA398" s="21"/>
      <c r="AB398" s="21"/>
      <c r="AC398" s="20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</row>
    <row r="399" spans="1:44" ht="15.6" x14ac:dyDescent="0.3">
      <c r="A399" s="19"/>
      <c r="B399" s="19"/>
      <c r="C399" s="20"/>
      <c r="D399" s="19"/>
      <c r="E399" s="20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20"/>
      <c r="Q399" s="19"/>
      <c r="R399" s="19"/>
      <c r="S399" s="19"/>
      <c r="T399" s="19"/>
      <c r="U399" s="19"/>
      <c r="V399" s="19"/>
      <c r="W399" s="20"/>
      <c r="X399" s="19"/>
      <c r="Y399" s="21"/>
      <c r="Z399" s="21"/>
      <c r="AA399" s="21"/>
      <c r="AB399" s="21"/>
      <c r="AC399" s="20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</row>
    <row r="400" spans="1:44" ht="15.6" x14ac:dyDescent="0.3">
      <c r="A400" s="19"/>
      <c r="B400" s="19"/>
      <c r="C400" s="20"/>
      <c r="D400" s="19"/>
      <c r="E400" s="20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20"/>
      <c r="Q400" s="19"/>
      <c r="R400" s="19"/>
      <c r="S400" s="19"/>
      <c r="T400" s="19"/>
      <c r="U400" s="19"/>
      <c r="V400" s="19"/>
      <c r="W400" s="20"/>
      <c r="X400" s="19"/>
      <c r="Y400" s="21"/>
      <c r="Z400" s="21"/>
      <c r="AA400" s="21"/>
      <c r="AB400" s="21"/>
      <c r="AC400" s="20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</row>
    <row r="401" spans="1:44" ht="15.6" x14ac:dyDescent="0.3">
      <c r="A401" s="19"/>
      <c r="B401" s="19"/>
      <c r="C401" s="20"/>
      <c r="D401" s="19"/>
      <c r="E401" s="20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20"/>
      <c r="Q401" s="19"/>
      <c r="R401" s="19"/>
      <c r="S401" s="19"/>
      <c r="T401" s="19"/>
      <c r="U401" s="19"/>
      <c r="V401" s="19"/>
      <c r="W401" s="20"/>
      <c r="X401" s="19"/>
      <c r="Y401" s="21"/>
      <c r="Z401" s="21"/>
      <c r="AA401" s="21"/>
      <c r="AB401" s="21"/>
      <c r="AC401" s="20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</row>
    <row r="402" spans="1:44" ht="15.6" x14ac:dyDescent="0.3">
      <c r="A402" s="19"/>
      <c r="B402" s="19"/>
      <c r="C402" s="20"/>
      <c r="D402" s="19"/>
      <c r="E402" s="20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20"/>
      <c r="Q402" s="19"/>
      <c r="R402" s="19"/>
      <c r="S402" s="19"/>
      <c r="T402" s="19"/>
      <c r="U402" s="19"/>
      <c r="V402" s="19"/>
      <c r="W402" s="20"/>
      <c r="X402" s="19"/>
      <c r="Y402" s="21"/>
      <c r="Z402" s="21"/>
      <c r="AA402" s="21"/>
      <c r="AB402" s="21"/>
      <c r="AC402" s="20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</row>
    <row r="403" spans="1:44" ht="15.6" x14ac:dyDescent="0.3">
      <c r="A403" s="19"/>
      <c r="B403" s="19"/>
      <c r="C403" s="20"/>
      <c r="D403" s="19"/>
      <c r="E403" s="20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20"/>
      <c r="Q403" s="19"/>
      <c r="R403" s="19"/>
      <c r="S403" s="19"/>
      <c r="T403" s="19"/>
      <c r="U403" s="19"/>
      <c r="V403" s="19"/>
      <c r="W403" s="20"/>
      <c r="X403" s="19"/>
      <c r="Y403" s="21"/>
      <c r="Z403" s="21"/>
      <c r="AA403" s="21"/>
      <c r="AB403" s="21"/>
      <c r="AC403" s="20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</row>
    <row r="404" spans="1:44" ht="15.6" x14ac:dyDescent="0.3">
      <c r="A404" s="19"/>
      <c r="B404" s="19"/>
      <c r="C404" s="20"/>
      <c r="D404" s="19"/>
      <c r="E404" s="20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20"/>
      <c r="Q404" s="19"/>
      <c r="R404" s="19"/>
      <c r="S404" s="19"/>
      <c r="T404" s="19"/>
      <c r="U404" s="19"/>
      <c r="V404" s="19"/>
      <c r="W404" s="20"/>
      <c r="X404" s="19"/>
      <c r="Y404" s="21"/>
      <c r="Z404" s="21"/>
      <c r="AA404" s="21"/>
      <c r="AB404" s="21"/>
      <c r="AC404" s="20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</row>
    <row r="405" spans="1:44" ht="15.6" x14ac:dyDescent="0.3">
      <c r="A405" s="19"/>
      <c r="B405" s="19"/>
      <c r="C405" s="20"/>
      <c r="D405" s="19"/>
      <c r="E405" s="20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20"/>
      <c r="Q405" s="19"/>
      <c r="R405" s="19"/>
      <c r="S405" s="19"/>
      <c r="T405" s="19"/>
      <c r="U405" s="19"/>
      <c r="V405" s="19"/>
      <c r="W405" s="20"/>
      <c r="X405" s="19"/>
      <c r="Y405" s="21"/>
      <c r="Z405" s="21"/>
      <c r="AA405" s="21"/>
      <c r="AB405" s="21"/>
      <c r="AC405" s="20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</row>
    <row r="406" spans="1:44" ht="15.6" x14ac:dyDescent="0.3">
      <c r="A406" s="19"/>
      <c r="B406" s="19"/>
      <c r="C406" s="20"/>
      <c r="D406" s="19"/>
      <c r="E406" s="20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20"/>
      <c r="Q406" s="19"/>
      <c r="R406" s="19"/>
      <c r="S406" s="19"/>
      <c r="T406" s="19"/>
      <c r="U406" s="19"/>
      <c r="V406" s="19"/>
      <c r="W406" s="20"/>
      <c r="X406" s="19"/>
      <c r="Y406" s="21"/>
      <c r="Z406" s="21"/>
      <c r="AA406" s="21"/>
      <c r="AB406" s="21"/>
      <c r="AC406" s="20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</row>
    <row r="407" spans="1:44" ht="15.6" x14ac:dyDescent="0.3">
      <c r="A407" s="19"/>
      <c r="B407" s="19"/>
      <c r="C407" s="20"/>
      <c r="D407" s="19"/>
      <c r="E407" s="20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20"/>
      <c r="Q407" s="19"/>
      <c r="R407" s="19"/>
      <c r="S407" s="19"/>
      <c r="T407" s="19"/>
      <c r="U407" s="19"/>
      <c r="V407" s="19"/>
      <c r="W407" s="20"/>
      <c r="X407" s="19"/>
      <c r="Y407" s="21"/>
      <c r="Z407" s="21"/>
      <c r="AA407" s="21"/>
      <c r="AB407" s="21"/>
      <c r="AC407" s="20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</row>
    <row r="408" spans="1:44" ht="15.6" x14ac:dyDescent="0.3">
      <c r="A408" s="19"/>
      <c r="B408" s="19"/>
      <c r="C408" s="20"/>
      <c r="D408" s="19"/>
      <c r="E408" s="20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20"/>
      <c r="Q408" s="19"/>
      <c r="R408" s="19"/>
      <c r="S408" s="19"/>
      <c r="T408" s="19"/>
      <c r="U408" s="19"/>
      <c r="V408" s="19"/>
      <c r="W408" s="20"/>
      <c r="X408" s="19"/>
      <c r="Y408" s="21"/>
      <c r="Z408" s="21"/>
      <c r="AA408" s="21"/>
      <c r="AB408" s="21"/>
      <c r="AC408" s="20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</row>
    <row r="409" spans="1:44" ht="15.6" x14ac:dyDescent="0.3">
      <c r="A409" s="19"/>
      <c r="B409" s="19"/>
      <c r="C409" s="20"/>
      <c r="D409" s="19"/>
      <c r="E409" s="20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20"/>
      <c r="Q409" s="19"/>
      <c r="R409" s="19"/>
      <c r="S409" s="19"/>
      <c r="T409" s="19"/>
      <c r="U409" s="19"/>
      <c r="V409" s="19"/>
      <c r="W409" s="20"/>
      <c r="X409" s="19"/>
      <c r="Y409" s="21"/>
      <c r="Z409" s="21"/>
      <c r="AA409" s="21"/>
      <c r="AB409" s="21"/>
      <c r="AC409" s="20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</row>
    <row r="410" spans="1:44" ht="15.6" x14ac:dyDescent="0.3">
      <c r="A410" s="19"/>
      <c r="B410" s="19"/>
      <c r="C410" s="20"/>
      <c r="D410" s="19"/>
      <c r="E410" s="20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20"/>
      <c r="Q410" s="19"/>
      <c r="R410" s="19"/>
      <c r="S410" s="19"/>
      <c r="T410" s="19"/>
      <c r="U410" s="19"/>
      <c r="V410" s="19"/>
      <c r="W410" s="20"/>
      <c r="X410" s="19"/>
      <c r="Y410" s="21"/>
      <c r="Z410" s="21"/>
      <c r="AA410" s="21"/>
      <c r="AB410" s="21"/>
      <c r="AC410" s="20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</row>
    <row r="411" spans="1:44" ht="15.6" x14ac:dyDescent="0.3">
      <c r="A411" s="19"/>
      <c r="B411" s="19"/>
      <c r="C411" s="20"/>
      <c r="D411" s="19"/>
      <c r="E411" s="20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20"/>
      <c r="Q411" s="19"/>
      <c r="R411" s="19"/>
      <c r="S411" s="19"/>
      <c r="T411" s="19"/>
      <c r="U411" s="19"/>
      <c r="V411" s="19"/>
      <c r="W411" s="20"/>
      <c r="X411" s="19"/>
      <c r="Y411" s="21"/>
      <c r="Z411" s="21"/>
      <c r="AA411" s="21"/>
      <c r="AB411" s="21"/>
      <c r="AC411" s="20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</row>
    <row r="412" spans="1:44" ht="15.6" x14ac:dyDescent="0.3">
      <c r="A412" s="19"/>
      <c r="B412" s="19"/>
      <c r="C412" s="20"/>
      <c r="D412" s="19"/>
      <c r="E412" s="20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20"/>
      <c r="Q412" s="19"/>
      <c r="R412" s="19"/>
      <c r="S412" s="19"/>
      <c r="T412" s="19"/>
      <c r="U412" s="19"/>
      <c r="V412" s="19"/>
      <c r="W412" s="20"/>
      <c r="X412" s="19"/>
      <c r="Y412" s="21"/>
      <c r="Z412" s="21"/>
      <c r="AA412" s="21"/>
      <c r="AB412" s="21"/>
      <c r="AC412" s="20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</row>
    <row r="413" spans="1:44" ht="15.6" x14ac:dyDescent="0.3">
      <c r="A413" s="19"/>
      <c r="B413" s="19"/>
      <c r="C413" s="20"/>
      <c r="D413" s="19"/>
      <c r="E413" s="20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20"/>
      <c r="Q413" s="19"/>
      <c r="R413" s="19"/>
      <c r="S413" s="19"/>
      <c r="T413" s="19"/>
      <c r="U413" s="19"/>
      <c r="V413" s="19"/>
      <c r="W413" s="20"/>
      <c r="X413" s="19"/>
      <c r="Y413" s="21"/>
      <c r="Z413" s="21"/>
      <c r="AA413" s="21"/>
      <c r="AB413" s="21"/>
      <c r="AC413" s="20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</row>
    <row r="414" spans="1:44" ht="15.6" x14ac:dyDescent="0.3">
      <c r="A414" s="19"/>
      <c r="B414" s="19"/>
      <c r="C414" s="20"/>
      <c r="D414" s="19"/>
      <c r="E414" s="20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20"/>
      <c r="Q414" s="19"/>
      <c r="R414" s="19"/>
      <c r="S414" s="19"/>
      <c r="T414" s="19"/>
      <c r="U414" s="19"/>
      <c r="V414" s="19"/>
      <c r="W414" s="20"/>
      <c r="X414" s="19"/>
      <c r="Y414" s="21"/>
      <c r="Z414" s="21"/>
      <c r="AA414" s="21"/>
      <c r="AB414" s="21"/>
      <c r="AC414" s="20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</row>
    <row r="415" spans="1:44" ht="15.6" x14ac:dyDescent="0.3">
      <c r="A415" s="19"/>
      <c r="B415" s="19"/>
      <c r="C415" s="20"/>
      <c r="D415" s="19"/>
      <c r="E415" s="20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20"/>
      <c r="Q415" s="19"/>
      <c r="R415" s="19"/>
      <c r="S415" s="19"/>
      <c r="T415" s="19"/>
      <c r="U415" s="19"/>
      <c r="V415" s="19"/>
      <c r="W415" s="20"/>
      <c r="X415" s="19"/>
      <c r="Y415" s="21"/>
      <c r="Z415" s="21"/>
      <c r="AA415" s="21"/>
      <c r="AB415" s="21"/>
      <c r="AC415" s="20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</row>
    <row r="416" spans="1:44" ht="15.6" x14ac:dyDescent="0.3">
      <c r="A416" s="19"/>
      <c r="B416" s="19"/>
      <c r="C416" s="20"/>
      <c r="D416" s="19"/>
      <c r="E416" s="20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20"/>
      <c r="Q416" s="19"/>
      <c r="R416" s="19"/>
      <c r="S416" s="19"/>
      <c r="T416" s="19"/>
      <c r="U416" s="19"/>
      <c r="V416" s="19"/>
      <c r="W416" s="20"/>
      <c r="X416" s="19"/>
      <c r="Y416" s="21"/>
      <c r="Z416" s="21"/>
      <c r="AA416" s="21"/>
      <c r="AB416" s="21"/>
      <c r="AC416" s="20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</row>
    <row r="417" spans="1:44" ht="15.6" x14ac:dyDescent="0.3">
      <c r="A417" s="19"/>
      <c r="B417" s="19"/>
      <c r="C417" s="20"/>
      <c r="D417" s="19"/>
      <c r="E417" s="20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20"/>
      <c r="Q417" s="19"/>
      <c r="R417" s="19"/>
      <c r="S417" s="19"/>
      <c r="T417" s="19"/>
      <c r="U417" s="19"/>
      <c r="V417" s="19"/>
      <c r="W417" s="20"/>
      <c r="X417" s="19"/>
      <c r="Y417" s="21"/>
      <c r="Z417" s="21"/>
      <c r="AA417" s="21"/>
      <c r="AB417" s="21"/>
      <c r="AC417" s="20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</row>
    <row r="418" spans="1:44" ht="15.6" x14ac:dyDescent="0.3">
      <c r="A418" s="19"/>
      <c r="B418" s="19"/>
      <c r="C418" s="20"/>
      <c r="D418" s="19"/>
      <c r="E418" s="20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20"/>
      <c r="Q418" s="19"/>
      <c r="R418" s="19"/>
      <c r="S418" s="19"/>
      <c r="T418" s="19"/>
      <c r="U418" s="19"/>
      <c r="V418" s="19"/>
      <c r="W418" s="20"/>
      <c r="X418" s="19"/>
      <c r="Y418" s="21"/>
      <c r="Z418" s="21"/>
      <c r="AA418" s="21"/>
      <c r="AB418" s="21"/>
      <c r="AC418" s="20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</row>
    <row r="419" spans="1:44" ht="15.6" x14ac:dyDescent="0.3">
      <c r="A419" s="19"/>
      <c r="B419" s="19"/>
      <c r="C419" s="20"/>
      <c r="D419" s="19"/>
      <c r="E419" s="20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20"/>
      <c r="Q419" s="19"/>
      <c r="R419" s="19"/>
      <c r="S419" s="19"/>
      <c r="T419" s="19"/>
      <c r="U419" s="19"/>
      <c r="V419" s="19"/>
      <c r="W419" s="20"/>
      <c r="X419" s="19"/>
      <c r="Y419" s="21"/>
      <c r="Z419" s="21"/>
      <c r="AA419" s="21"/>
      <c r="AB419" s="21"/>
      <c r="AC419" s="20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</row>
    <row r="420" spans="1:44" ht="15.6" x14ac:dyDescent="0.3">
      <c r="A420" s="19"/>
      <c r="B420" s="19"/>
      <c r="C420" s="20"/>
      <c r="D420" s="19"/>
      <c r="E420" s="20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20"/>
      <c r="Q420" s="19"/>
      <c r="R420" s="19"/>
      <c r="S420" s="19"/>
      <c r="T420" s="19"/>
      <c r="U420" s="19"/>
      <c r="V420" s="19"/>
      <c r="W420" s="20"/>
      <c r="X420" s="19"/>
      <c r="Y420" s="21"/>
      <c r="Z420" s="21"/>
      <c r="AA420" s="21"/>
      <c r="AB420" s="21"/>
      <c r="AC420" s="20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</row>
    <row r="421" spans="1:44" ht="15.6" x14ac:dyDescent="0.3">
      <c r="A421" s="19"/>
      <c r="B421" s="19"/>
      <c r="C421" s="20"/>
      <c r="D421" s="19"/>
      <c r="E421" s="20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20"/>
      <c r="Q421" s="19"/>
      <c r="R421" s="19"/>
      <c r="S421" s="19"/>
      <c r="T421" s="19"/>
      <c r="U421" s="19"/>
      <c r="V421" s="19"/>
      <c r="W421" s="20"/>
      <c r="X421" s="19"/>
      <c r="Y421" s="21"/>
      <c r="Z421" s="21"/>
      <c r="AA421" s="21"/>
      <c r="AB421" s="21"/>
      <c r="AC421" s="20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</row>
    <row r="422" spans="1:44" ht="15.6" x14ac:dyDescent="0.3">
      <c r="A422" s="19"/>
      <c r="B422" s="19"/>
      <c r="C422" s="20"/>
      <c r="D422" s="19"/>
      <c r="E422" s="20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20"/>
      <c r="Q422" s="19"/>
      <c r="R422" s="19"/>
      <c r="S422" s="19"/>
      <c r="T422" s="19"/>
      <c r="U422" s="19"/>
      <c r="V422" s="19"/>
      <c r="W422" s="20"/>
      <c r="X422" s="19"/>
      <c r="Y422" s="21"/>
      <c r="Z422" s="21"/>
      <c r="AA422" s="21"/>
      <c r="AB422" s="21"/>
      <c r="AC422" s="20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</row>
    <row r="423" spans="1:44" ht="15.6" x14ac:dyDescent="0.3">
      <c r="A423" s="19"/>
      <c r="B423" s="19"/>
      <c r="C423" s="20"/>
      <c r="D423" s="19"/>
      <c r="E423" s="20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20"/>
      <c r="Q423" s="19"/>
      <c r="R423" s="19"/>
      <c r="S423" s="19"/>
      <c r="T423" s="19"/>
      <c r="U423" s="19"/>
      <c r="V423" s="19"/>
      <c r="W423" s="20"/>
      <c r="X423" s="19"/>
      <c r="Y423" s="21"/>
      <c r="Z423" s="21"/>
      <c r="AA423" s="21"/>
      <c r="AB423" s="21"/>
      <c r="AC423" s="20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</row>
    <row r="424" spans="1:44" ht="15.6" x14ac:dyDescent="0.3">
      <c r="A424" s="19"/>
      <c r="B424" s="19"/>
      <c r="C424" s="20"/>
      <c r="D424" s="19"/>
      <c r="E424" s="20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20"/>
      <c r="Q424" s="19"/>
      <c r="R424" s="19"/>
      <c r="S424" s="19"/>
      <c r="T424" s="19"/>
      <c r="U424" s="19"/>
      <c r="V424" s="19"/>
      <c r="W424" s="20"/>
      <c r="X424" s="19"/>
      <c r="Y424" s="21"/>
      <c r="Z424" s="21"/>
      <c r="AA424" s="21"/>
      <c r="AB424" s="21"/>
      <c r="AC424" s="20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</row>
    <row r="425" spans="1:44" ht="15.6" x14ac:dyDescent="0.3">
      <c r="A425" s="19"/>
      <c r="B425" s="19"/>
      <c r="C425" s="20"/>
      <c r="D425" s="19"/>
      <c r="E425" s="20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20"/>
      <c r="Q425" s="19"/>
      <c r="R425" s="19"/>
      <c r="S425" s="19"/>
      <c r="T425" s="19"/>
      <c r="U425" s="19"/>
      <c r="V425" s="19"/>
      <c r="W425" s="20"/>
      <c r="X425" s="19"/>
      <c r="Y425" s="21"/>
      <c r="Z425" s="21"/>
      <c r="AA425" s="21"/>
      <c r="AB425" s="21"/>
      <c r="AC425" s="20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</row>
    <row r="426" spans="1:44" ht="15.6" x14ac:dyDescent="0.3">
      <c r="A426" s="19"/>
      <c r="B426" s="19"/>
      <c r="C426" s="20"/>
      <c r="D426" s="19"/>
      <c r="E426" s="20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20"/>
      <c r="Q426" s="19"/>
      <c r="R426" s="19"/>
      <c r="S426" s="19"/>
      <c r="T426" s="19"/>
      <c r="U426" s="19"/>
      <c r="V426" s="19"/>
      <c r="W426" s="20"/>
      <c r="X426" s="19"/>
      <c r="Y426" s="21"/>
      <c r="Z426" s="21"/>
      <c r="AA426" s="21"/>
      <c r="AB426" s="21"/>
      <c r="AC426" s="20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</row>
    <row r="427" spans="1:44" ht="15.6" x14ac:dyDescent="0.3">
      <c r="A427" s="19"/>
      <c r="B427" s="19"/>
      <c r="C427" s="20"/>
      <c r="D427" s="19"/>
      <c r="E427" s="20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20"/>
      <c r="Q427" s="19"/>
      <c r="R427" s="19"/>
      <c r="S427" s="19"/>
      <c r="T427" s="19"/>
      <c r="U427" s="19"/>
      <c r="V427" s="19"/>
      <c r="W427" s="20"/>
      <c r="X427" s="19"/>
      <c r="Y427" s="21"/>
      <c r="Z427" s="21"/>
      <c r="AA427" s="21"/>
      <c r="AB427" s="21"/>
      <c r="AC427" s="20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</row>
    <row r="428" spans="1:44" ht="15.6" x14ac:dyDescent="0.3">
      <c r="A428" s="19"/>
      <c r="B428" s="19"/>
      <c r="C428" s="20"/>
      <c r="D428" s="19"/>
      <c r="E428" s="20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20"/>
      <c r="Q428" s="19"/>
      <c r="R428" s="19"/>
      <c r="S428" s="19"/>
      <c r="T428" s="19"/>
      <c r="U428" s="19"/>
      <c r="V428" s="19"/>
      <c r="W428" s="20"/>
      <c r="X428" s="19"/>
      <c r="Y428" s="21"/>
      <c r="Z428" s="21"/>
      <c r="AA428" s="21"/>
      <c r="AB428" s="21"/>
      <c r="AC428" s="20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</row>
    <row r="429" spans="1:44" ht="15.6" x14ac:dyDescent="0.3">
      <c r="A429" s="19"/>
      <c r="B429" s="19"/>
      <c r="C429" s="20"/>
      <c r="D429" s="19"/>
      <c r="E429" s="20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20"/>
      <c r="Q429" s="19"/>
      <c r="R429" s="19"/>
      <c r="S429" s="19"/>
      <c r="T429" s="19"/>
      <c r="U429" s="19"/>
      <c r="V429" s="19"/>
      <c r="W429" s="20"/>
      <c r="X429" s="19"/>
      <c r="Y429" s="21"/>
      <c r="Z429" s="21"/>
      <c r="AA429" s="21"/>
      <c r="AB429" s="21"/>
      <c r="AC429" s="20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</row>
    <row r="430" spans="1:44" ht="15.6" x14ac:dyDescent="0.3">
      <c r="A430" s="19"/>
      <c r="B430" s="19"/>
      <c r="C430" s="20"/>
      <c r="D430" s="19"/>
      <c r="E430" s="20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20"/>
      <c r="Q430" s="19"/>
      <c r="R430" s="19"/>
      <c r="S430" s="19"/>
      <c r="T430" s="19"/>
      <c r="U430" s="19"/>
      <c r="V430" s="19"/>
      <c r="W430" s="20"/>
      <c r="X430" s="19"/>
      <c r="Y430" s="21"/>
      <c r="Z430" s="21"/>
      <c r="AA430" s="21"/>
      <c r="AB430" s="21"/>
      <c r="AC430" s="20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</row>
    <row r="431" spans="1:44" ht="15.6" x14ac:dyDescent="0.3">
      <c r="A431" s="19"/>
      <c r="B431" s="19"/>
      <c r="C431" s="20"/>
      <c r="D431" s="19"/>
      <c r="E431" s="20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20"/>
      <c r="Q431" s="19"/>
      <c r="R431" s="19"/>
      <c r="S431" s="19"/>
      <c r="T431" s="19"/>
      <c r="U431" s="19"/>
      <c r="V431" s="19"/>
      <c r="W431" s="20"/>
      <c r="X431" s="19"/>
      <c r="Y431" s="21"/>
      <c r="Z431" s="21"/>
      <c r="AA431" s="21"/>
      <c r="AB431" s="21"/>
      <c r="AC431" s="20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</row>
    <row r="432" spans="1:44" ht="15.6" x14ac:dyDescent="0.3">
      <c r="A432" s="19"/>
      <c r="B432" s="19"/>
      <c r="C432" s="20"/>
      <c r="D432" s="19"/>
      <c r="E432" s="20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20"/>
      <c r="Q432" s="19"/>
      <c r="R432" s="19"/>
      <c r="S432" s="19"/>
      <c r="T432" s="19"/>
      <c r="U432" s="19"/>
      <c r="V432" s="19"/>
      <c r="W432" s="20"/>
      <c r="X432" s="19"/>
      <c r="Y432" s="21"/>
      <c r="Z432" s="21"/>
      <c r="AA432" s="21"/>
      <c r="AB432" s="21"/>
      <c r="AC432" s="20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</row>
    <row r="433" spans="1:44" ht="15.6" x14ac:dyDescent="0.3">
      <c r="A433" s="19"/>
      <c r="B433" s="19"/>
      <c r="C433" s="20"/>
      <c r="D433" s="19"/>
      <c r="E433" s="20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20"/>
      <c r="Q433" s="19"/>
      <c r="R433" s="19"/>
      <c r="S433" s="19"/>
      <c r="T433" s="19"/>
      <c r="U433" s="19"/>
      <c r="V433" s="19"/>
      <c r="W433" s="20"/>
      <c r="X433" s="19"/>
      <c r="Y433" s="21"/>
      <c r="Z433" s="21"/>
      <c r="AA433" s="21"/>
      <c r="AB433" s="21"/>
      <c r="AC433" s="20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</row>
    <row r="434" spans="1:44" ht="15.6" x14ac:dyDescent="0.3">
      <c r="A434" s="19"/>
      <c r="B434" s="19"/>
      <c r="C434" s="20"/>
      <c r="D434" s="19"/>
      <c r="E434" s="20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20"/>
      <c r="Q434" s="19"/>
      <c r="R434" s="19"/>
      <c r="S434" s="19"/>
      <c r="T434" s="19"/>
      <c r="U434" s="19"/>
      <c r="V434" s="19"/>
      <c r="W434" s="20"/>
      <c r="X434" s="19"/>
      <c r="Y434" s="21"/>
      <c r="Z434" s="21"/>
      <c r="AA434" s="21"/>
      <c r="AB434" s="21"/>
      <c r="AC434" s="20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</row>
    <row r="435" spans="1:44" ht="15.6" x14ac:dyDescent="0.3">
      <c r="A435" s="19"/>
      <c r="B435" s="19"/>
      <c r="C435" s="20"/>
      <c r="D435" s="19"/>
      <c r="E435" s="20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20"/>
      <c r="Q435" s="19"/>
      <c r="R435" s="19"/>
      <c r="S435" s="19"/>
      <c r="T435" s="19"/>
      <c r="U435" s="19"/>
      <c r="V435" s="19"/>
      <c r="W435" s="20"/>
      <c r="X435" s="19"/>
      <c r="Y435" s="21"/>
      <c r="Z435" s="21"/>
      <c r="AA435" s="21"/>
      <c r="AB435" s="21"/>
      <c r="AC435" s="20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</row>
    <row r="436" spans="1:44" ht="15.6" x14ac:dyDescent="0.3">
      <c r="A436" s="19"/>
      <c r="B436" s="19"/>
      <c r="C436" s="20"/>
      <c r="D436" s="19"/>
      <c r="E436" s="20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20"/>
      <c r="Q436" s="19"/>
      <c r="R436" s="19"/>
      <c r="S436" s="19"/>
      <c r="T436" s="19"/>
      <c r="U436" s="19"/>
      <c r="V436" s="19"/>
      <c r="W436" s="20"/>
      <c r="X436" s="19"/>
      <c r="Y436" s="21"/>
      <c r="Z436" s="21"/>
      <c r="AA436" s="21"/>
      <c r="AB436" s="21"/>
      <c r="AC436" s="20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</row>
    <row r="437" spans="1:44" ht="15.6" x14ac:dyDescent="0.3">
      <c r="A437" s="19"/>
      <c r="B437" s="19"/>
      <c r="C437" s="20"/>
      <c r="D437" s="19"/>
      <c r="E437" s="20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20"/>
      <c r="Q437" s="19"/>
      <c r="R437" s="19"/>
      <c r="S437" s="19"/>
      <c r="T437" s="19"/>
      <c r="U437" s="19"/>
      <c r="V437" s="19"/>
      <c r="W437" s="20"/>
      <c r="X437" s="19"/>
      <c r="Y437" s="21"/>
      <c r="Z437" s="21"/>
      <c r="AA437" s="21"/>
      <c r="AB437" s="21"/>
      <c r="AC437" s="20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</row>
    <row r="438" spans="1:44" ht="15.6" x14ac:dyDescent="0.3">
      <c r="A438" s="19"/>
      <c r="B438" s="19"/>
      <c r="C438" s="20"/>
      <c r="D438" s="19"/>
      <c r="E438" s="20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20"/>
      <c r="Q438" s="19"/>
      <c r="R438" s="19"/>
      <c r="S438" s="19"/>
      <c r="T438" s="19"/>
      <c r="U438" s="19"/>
      <c r="V438" s="19"/>
      <c r="W438" s="20"/>
      <c r="X438" s="19"/>
      <c r="Y438" s="21"/>
      <c r="Z438" s="21"/>
      <c r="AA438" s="21"/>
      <c r="AB438" s="21"/>
      <c r="AC438" s="20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</row>
    <row r="439" spans="1:44" ht="15.6" x14ac:dyDescent="0.3">
      <c r="A439" s="19"/>
      <c r="B439" s="19"/>
      <c r="C439" s="20"/>
      <c r="D439" s="19"/>
      <c r="E439" s="20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20"/>
      <c r="Q439" s="19"/>
      <c r="R439" s="19"/>
      <c r="S439" s="19"/>
      <c r="T439" s="19"/>
      <c r="U439" s="19"/>
      <c r="V439" s="19"/>
      <c r="W439" s="20"/>
      <c r="X439" s="19"/>
      <c r="Y439" s="21"/>
      <c r="Z439" s="21"/>
      <c r="AA439" s="21"/>
      <c r="AB439" s="21"/>
      <c r="AC439" s="20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</row>
    <row r="440" spans="1:44" ht="15.6" x14ac:dyDescent="0.3">
      <c r="A440" s="19"/>
      <c r="B440" s="19"/>
      <c r="C440" s="20"/>
      <c r="D440" s="19"/>
      <c r="E440" s="20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20"/>
      <c r="Q440" s="19"/>
      <c r="R440" s="19"/>
      <c r="S440" s="19"/>
      <c r="T440" s="19"/>
      <c r="U440" s="19"/>
      <c r="V440" s="19"/>
      <c r="W440" s="20"/>
      <c r="X440" s="19"/>
      <c r="Y440" s="21"/>
      <c r="Z440" s="21"/>
      <c r="AA440" s="21"/>
      <c r="AB440" s="21"/>
      <c r="AC440" s="20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</row>
    <row r="441" spans="1:44" ht="15.6" x14ac:dyDescent="0.3">
      <c r="A441" s="19"/>
      <c r="B441" s="19"/>
      <c r="C441" s="20"/>
      <c r="D441" s="19"/>
      <c r="E441" s="20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20"/>
      <c r="Q441" s="19"/>
      <c r="R441" s="19"/>
      <c r="S441" s="19"/>
      <c r="T441" s="19"/>
      <c r="U441" s="19"/>
      <c r="V441" s="19"/>
      <c r="W441" s="20"/>
      <c r="X441" s="19"/>
      <c r="Y441" s="21"/>
      <c r="Z441" s="21"/>
      <c r="AA441" s="21"/>
      <c r="AB441" s="21"/>
      <c r="AC441" s="20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</row>
    <row r="442" spans="1:44" ht="15.6" x14ac:dyDescent="0.3">
      <c r="A442" s="19"/>
      <c r="B442" s="19"/>
      <c r="C442" s="20"/>
      <c r="D442" s="19"/>
      <c r="E442" s="20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20"/>
      <c r="Q442" s="19"/>
      <c r="R442" s="19"/>
      <c r="S442" s="19"/>
      <c r="T442" s="19"/>
      <c r="U442" s="19"/>
      <c r="V442" s="19"/>
      <c r="W442" s="20"/>
      <c r="X442" s="19"/>
      <c r="Y442" s="21"/>
      <c r="Z442" s="21"/>
      <c r="AA442" s="21"/>
      <c r="AB442" s="21"/>
      <c r="AC442" s="20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</row>
    <row r="443" spans="1:44" ht="15.6" x14ac:dyDescent="0.3">
      <c r="A443" s="19"/>
      <c r="B443" s="19"/>
      <c r="C443" s="20"/>
      <c r="D443" s="19"/>
      <c r="E443" s="20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20"/>
      <c r="Q443" s="19"/>
      <c r="R443" s="19"/>
      <c r="S443" s="19"/>
      <c r="T443" s="19"/>
      <c r="U443" s="19"/>
      <c r="V443" s="19"/>
      <c r="W443" s="20"/>
      <c r="X443" s="19"/>
      <c r="Y443" s="21"/>
      <c r="Z443" s="21"/>
      <c r="AA443" s="21"/>
      <c r="AB443" s="21"/>
      <c r="AC443" s="20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</row>
    <row r="444" spans="1:44" ht="15.6" x14ac:dyDescent="0.3">
      <c r="A444" s="19"/>
      <c r="B444" s="19"/>
      <c r="C444" s="20"/>
      <c r="D444" s="19"/>
      <c r="E444" s="20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20"/>
      <c r="Q444" s="19"/>
      <c r="R444" s="19"/>
      <c r="S444" s="19"/>
      <c r="T444" s="19"/>
      <c r="U444" s="19"/>
      <c r="V444" s="19"/>
      <c r="W444" s="20"/>
      <c r="X444" s="19"/>
      <c r="Y444" s="21"/>
      <c r="Z444" s="21"/>
      <c r="AA444" s="21"/>
      <c r="AB444" s="21"/>
      <c r="AC444" s="20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</row>
    <row r="445" spans="1:44" ht="15.6" x14ac:dyDescent="0.3">
      <c r="A445" s="19"/>
      <c r="B445" s="19"/>
      <c r="C445" s="20"/>
      <c r="D445" s="19"/>
      <c r="E445" s="20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20"/>
      <c r="Q445" s="19"/>
      <c r="R445" s="19"/>
      <c r="S445" s="19"/>
      <c r="T445" s="19"/>
      <c r="U445" s="19"/>
      <c r="V445" s="19"/>
      <c r="W445" s="20"/>
      <c r="X445" s="19"/>
      <c r="Y445" s="21"/>
      <c r="Z445" s="21"/>
      <c r="AA445" s="21"/>
      <c r="AB445" s="21"/>
      <c r="AC445" s="20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</row>
    <row r="446" spans="1:44" ht="15.6" x14ac:dyDescent="0.3">
      <c r="A446" s="19"/>
      <c r="B446" s="19"/>
      <c r="C446" s="20"/>
      <c r="D446" s="19"/>
      <c r="E446" s="20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20"/>
      <c r="Q446" s="19"/>
      <c r="R446" s="19"/>
      <c r="S446" s="19"/>
      <c r="T446" s="19"/>
      <c r="U446" s="19"/>
      <c r="V446" s="19"/>
      <c r="W446" s="20"/>
      <c r="X446" s="19"/>
      <c r="Y446" s="21"/>
      <c r="Z446" s="21"/>
      <c r="AA446" s="21"/>
      <c r="AB446" s="21"/>
      <c r="AC446" s="20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</row>
    <row r="447" spans="1:44" ht="15.6" x14ac:dyDescent="0.3">
      <c r="A447" s="19"/>
      <c r="B447" s="19"/>
      <c r="C447" s="20"/>
      <c r="D447" s="19"/>
      <c r="E447" s="20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20"/>
      <c r="Q447" s="19"/>
      <c r="R447" s="19"/>
      <c r="S447" s="19"/>
      <c r="T447" s="19"/>
      <c r="U447" s="19"/>
      <c r="V447" s="19"/>
      <c r="W447" s="20"/>
      <c r="X447" s="19"/>
      <c r="Y447" s="21"/>
      <c r="Z447" s="21"/>
      <c r="AA447" s="21"/>
      <c r="AB447" s="21"/>
      <c r="AC447" s="20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</row>
    <row r="448" spans="1:44" ht="15.6" x14ac:dyDescent="0.3">
      <c r="A448" s="19"/>
      <c r="B448" s="19"/>
      <c r="C448" s="20"/>
      <c r="D448" s="19"/>
      <c r="E448" s="20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20"/>
      <c r="Q448" s="19"/>
      <c r="R448" s="19"/>
      <c r="S448" s="19"/>
      <c r="T448" s="19"/>
      <c r="U448" s="19"/>
      <c r="V448" s="19"/>
      <c r="W448" s="20"/>
      <c r="X448" s="19"/>
      <c r="Y448" s="21"/>
      <c r="Z448" s="21"/>
      <c r="AA448" s="21"/>
      <c r="AB448" s="21"/>
      <c r="AC448" s="20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</row>
    <row r="449" spans="1:44" ht="15.6" x14ac:dyDescent="0.3">
      <c r="A449" s="19"/>
      <c r="B449" s="19"/>
      <c r="C449" s="20"/>
      <c r="D449" s="19"/>
      <c r="E449" s="20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20"/>
      <c r="Q449" s="19"/>
      <c r="R449" s="19"/>
      <c r="S449" s="19"/>
      <c r="T449" s="19"/>
      <c r="U449" s="19"/>
      <c r="V449" s="19"/>
      <c r="W449" s="20"/>
      <c r="X449" s="19"/>
      <c r="Y449" s="21"/>
      <c r="Z449" s="21"/>
      <c r="AA449" s="21"/>
      <c r="AB449" s="21"/>
      <c r="AC449" s="20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</row>
    <row r="450" spans="1:44" ht="15.6" x14ac:dyDescent="0.3">
      <c r="A450" s="19"/>
      <c r="B450" s="19"/>
      <c r="C450" s="20"/>
      <c r="D450" s="19"/>
      <c r="E450" s="20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20"/>
      <c r="Q450" s="19"/>
      <c r="R450" s="19"/>
      <c r="S450" s="19"/>
      <c r="T450" s="19"/>
      <c r="U450" s="19"/>
      <c r="V450" s="19"/>
      <c r="W450" s="20"/>
      <c r="X450" s="19"/>
      <c r="Y450" s="21"/>
      <c r="Z450" s="21"/>
      <c r="AA450" s="21"/>
      <c r="AB450" s="21"/>
      <c r="AC450" s="20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</row>
    <row r="451" spans="1:44" ht="15.6" x14ac:dyDescent="0.3">
      <c r="A451" s="19"/>
      <c r="B451" s="19"/>
      <c r="C451" s="20"/>
      <c r="D451" s="19"/>
      <c r="E451" s="20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20"/>
      <c r="Q451" s="19"/>
      <c r="R451" s="19"/>
      <c r="S451" s="19"/>
      <c r="T451" s="19"/>
      <c r="U451" s="19"/>
      <c r="V451" s="19"/>
      <c r="W451" s="20"/>
      <c r="X451" s="19"/>
      <c r="Y451" s="21"/>
      <c r="Z451" s="21"/>
      <c r="AA451" s="21"/>
      <c r="AB451" s="21"/>
      <c r="AC451" s="20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</row>
    <row r="452" spans="1:44" ht="15.6" x14ac:dyDescent="0.3">
      <c r="A452" s="19"/>
      <c r="B452" s="19"/>
      <c r="C452" s="20"/>
      <c r="D452" s="19"/>
      <c r="E452" s="20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20"/>
      <c r="Q452" s="19"/>
      <c r="R452" s="19"/>
      <c r="S452" s="19"/>
      <c r="T452" s="19"/>
      <c r="U452" s="19"/>
      <c r="V452" s="19"/>
      <c r="W452" s="20"/>
      <c r="X452" s="19"/>
      <c r="Y452" s="21"/>
      <c r="Z452" s="21"/>
      <c r="AA452" s="21"/>
      <c r="AB452" s="21"/>
      <c r="AC452" s="20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</row>
    <row r="453" spans="1:44" ht="15.6" x14ac:dyDescent="0.3">
      <c r="A453" s="19"/>
      <c r="B453" s="19"/>
      <c r="C453" s="20"/>
      <c r="D453" s="19"/>
      <c r="E453" s="20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20"/>
      <c r="Q453" s="19"/>
      <c r="R453" s="19"/>
      <c r="S453" s="19"/>
      <c r="T453" s="19"/>
      <c r="U453" s="19"/>
      <c r="V453" s="19"/>
      <c r="W453" s="20"/>
      <c r="X453" s="19"/>
      <c r="Y453" s="21"/>
      <c r="Z453" s="21"/>
      <c r="AA453" s="21"/>
      <c r="AB453" s="21"/>
      <c r="AC453" s="20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</row>
    <row r="454" spans="1:44" ht="15.6" x14ac:dyDescent="0.3">
      <c r="A454" s="19"/>
      <c r="B454" s="19"/>
      <c r="C454" s="20"/>
      <c r="D454" s="19"/>
      <c r="E454" s="20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20"/>
      <c r="Q454" s="19"/>
      <c r="R454" s="19"/>
      <c r="S454" s="19"/>
      <c r="T454" s="19"/>
      <c r="U454" s="19"/>
      <c r="V454" s="19"/>
      <c r="W454" s="20"/>
      <c r="X454" s="19"/>
      <c r="Y454" s="21"/>
      <c r="Z454" s="21"/>
      <c r="AA454" s="21"/>
      <c r="AB454" s="21"/>
      <c r="AC454" s="20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</row>
    <row r="455" spans="1:44" ht="15.6" x14ac:dyDescent="0.3">
      <c r="A455" s="19"/>
      <c r="B455" s="19"/>
      <c r="C455" s="20"/>
      <c r="D455" s="19"/>
      <c r="E455" s="20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20"/>
      <c r="Q455" s="19"/>
      <c r="R455" s="19"/>
      <c r="S455" s="19"/>
      <c r="T455" s="19"/>
      <c r="U455" s="19"/>
      <c r="V455" s="19"/>
      <c r="W455" s="20"/>
      <c r="X455" s="19"/>
      <c r="Y455" s="21"/>
      <c r="Z455" s="21"/>
      <c r="AA455" s="21"/>
      <c r="AB455" s="21"/>
      <c r="AC455" s="20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</row>
    <row r="456" spans="1:44" ht="15.6" x14ac:dyDescent="0.3">
      <c r="A456" s="19"/>
      <c r="B456" s="19"/>
      <c r="C456" s="20"/>
      <c r="D456" s="19"/>
      <c r="E456" s="20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20"/>
      <c r="Q456" s="19"/>
      <c r="R456" s="19"/>
      <c r="S456" s="19"/>
      <c r="T456" s="19"/>
      <c r="U456" s="19"/>
      <c r="V456" s="19"/>
      <c r="W456" s="20"/>
      <c r="X456" s="19"/>
      <c r="Y456" s="21"/>
      <c r="Z456" s="21"/>
      <c r="AA456" s="21"/>
      <c r="AB456" s="21"/>
      <c r="AC456" s="20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</row>
    <row r="457" spans="1:44" ht="15.6" x14ac:dyDescent="0.3">
      <c r="A457" s="19"/>
      <c r="B457" s="19"/>
      <c r="C457" s="20"/>
      <c r="D457" s="19"/>
      <c r="E457" s="20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20"/>
      <c r="Q457" s="19"/>
      <c r="R457" s="19"/>
      <c r="S457" s="19"/>
      <c r="T457" s="19"/>
      <c r="U457" s="19"/>
      <c r="V457" s="19"/>
      <c r="W457" s="20"/>
      <c r="X457" s="19"/>
      <c r="Y457" s="21"/>
      <c r="Z457" s="21"/>
      <c r="AA457" s="21"/>
      <c r="AB457" s="21"/>
      <c r="AC457" s="20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</row>
    <row r="458" spans="1:44" ht="15.6" x14ac:dyDescent="0.3">
      <c r="A458" s="19"/>
      <c r="B458" s="19"/>
      <c r="C458" s="20"/>
      <c r="D458" s="19"/>
      <c r="E458" s="20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20"/>
      <c r="Q458" s="19"/>
      <c r="R458" s="19"/>
      <c r="S458" s="19"/>
      <c r="T458" s="19"/>
      <c r="U458" s="19"/>
      <c r="V458" s="19"/>
      <c r="W458" s="20"/>
      <c r="X458" s="19"/>
      <c r="Y458" s="21"/>
      <c r="Z458" s="21"/>
      <c r="AA458" s="21"/>
      <c r="AB458" s="21"/>
      <c r="AC458" s="20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</row>
    <row r="459" spans="1:44" ht="15.6" x14ac:dyDescent="0.3">
      <c r="A459" s="19"/>
      <c r="B459" s="19"/>
      <c r="C459" s="20"/>
      <c r="D459" s="19"/>
      <c r="E459" s="20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20"/>
      <c r="Q459" s="19"/>
      <c r="R459" s="19"/>
      <c r="S459" s="19"/>
      <c r="T459" s="19"/>
      <c r="U459" s="19"/>
      <c r="V459" s="19"/>
      <c r="W459" s="20"/>
      <c r="X459" s="19"/>
      <c r="Y459" s="21"/>
      <c r="Z459" s="21"/>
      <c r="AA459" s="21"/>
      <c r="AB459" s="21"/>
      <c r="AC459" s="20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</row>
    <row r="460" spans="1:44" ht="15.6" x14ac:dyDescent="0.3">
      <c r="A460" s="19"/>
      <c r="B460" s="19"/>
      <c r="C460" s="20"/>
      <c r="D460" s="19"/>
      <c r="E460" s="20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20"/>
      <c r="Q460" s="19"/>
      <c r="R460" s="19"/>
      <c r="S460" s="19"/>
      <c r="T460" s="19"/>
      <c r="U460" s="19"/>
      <c r="V460" s="19"/>
      <c r="W460" s="20"/>
      <c r="X460" s="19"/>
      <c r="Y460" s="21"/>
      <c r="Z460" s="21"/>
      <c r="AA460" s="21"/>
      <c r="AB460" s="21"/>
      <c r="AC460" s="20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</row>
    <row r="461" spans="1:44" ht="15.6" x14ac:dyDescent="0.3">
      <c r="A461" s="19"/>
      <c r="B461" s="19"/>
      <c r="C461" s="20"/>
      <c r="D461" s="19"/>
      <c r="E461" s="20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20"/>
      <c r="Q461" s="19"/>
      <c r="R461" s="19"/>
      <c r="S461" s="19"/>
      <c r="T461" s="19"/>
      <c r="U461" s="19"/>
      <c r="V461" s="19"/>
      <c r="W461" s="20"/>
      <c r="X461" s="19"/>
      <c r="Y461" s="21"/>
      <c r="Z461" s="21"/>
      <c r="AA461" s="21"/>
      <c r="AB461" s="21"/>
      <c r="AC461" s="20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</row>
    <row r="462" spans="1:44" ht="15.6" x14ac:dyDescent="0.3">
      <c r="A462" s="19"/>
      <c r="B462" s="19"/>
      <c r="C462" s="20"/>
      <c r="D462" s="19"/>
      <c r="E462" s="20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20"/>
      <c r="Q462" s="19"/>
      <c r="R462" s="19"/>
      <c r="S462" s="19"/>
      <c r="T462" s="19"/>
      <c r="U462" s="19"/>
      <c r="V462" s="19"/>
      <c r="W462" s="20"/>
      <c r="X462" s="19"/>
      <c r="Y462" s="21"/>
      <c r="Z462" s="21"/>
      <c r="AA462" s="21"/>
      <c r="AB462" s="21"/>
      <c r="AC462" s="20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</row>
    <row r="463" spans="1:44" ht="15.6" x14ac:dyDescent="0.3">
      <c r="A463" s="19"/>
      <c r="B463" s="19"/>
      <c r="C463" s="20"/>
      <c r="D463" s="19"/>
      <c r="E463" s="20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20"/>
      <c r="Q463" s="19"/>
      <c r="R463" s="19"/>
      <c r="S463" s="19"/>
      <c r="T463" s="19"/>
      <c r="U463" s="19"/>
      <c r="V463" s="19"/>
      <c r="W463" s="20"/>
      <c r="X463" s="19"/>
      <c r="Y463" s="21"/>
      <c r="Z463" s="21"/>
      <c r="AA463" s="21"/>
      <c r="AB463" s="21"/>
      <c r="AC463" s="20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</row>
    <row r="464" spans="1:44" ht="15.6" x14ac:dyDescent="0.3">
      <c r="A464" s="19"/>
      <c r="B464" s="19"/>
      <c r="C464" s="20"/>
      <c r="D464" s="19"/>
      <c r="E464" s="20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20"/>
      <c r="Q464" s="19"/>
      <c r="R464" s="19"/>
      <c r="S464" s="19"/>
      <c r="T464" s="19"/>
      <c r="U464" s="19"/>
      <c r="V464" s="19"/>
      <c r="W464" s="20"/>
      <c r="X464" s="19"/>
      <c r="Y464" s="21"/>
      <c r="Z464" s="21"/>
      <c r="AA464" s="21"/>
      <c r="AB464" s="21"/>
      <c r="AC464" s="20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</row>
    <row r="465" spans="1:44" ht="15.6" x14ac:dyDescent="0.3">
      <c r="A465" s="19"/>
      <c r="B465" s="19"/>
      <c r="C465" s="20"/>
      <c r="D465" s="19"/>
      <c r="E465" s="20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20"/>
      <c r="Q465" s="19"/>
      <c r="R465" s="19"/>
      <c r="S465" s="19"/>
      <c r="T465" s="19"/>
      <c r="U465" s="19"/>
      <c r="V465" s="19"/>
      <c r="W465" s="20"/>
      <c r="X465" s="19"/>
      <c r="Y465" s="21"/>
      <c r="Z465" s="21"/>
      <c r="AA465" s="21"/>
      <c r="AB465" s="21"/>
      <c r="AC465" s="20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</row>
    <row r="466" spans="1:44" ht="15.6" x14ac:dyDescent="0.3">
      <c r="A466" s="19"/>
      <c r="B466" s="19"/>
      <c r="C466" s="20"/>
      <c r="D466" s="19"/>
      <c r="E466" s="20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20"/>
      <c r="Q466" s="19"/>
      <c r="R466" s="19"/>
      <c r="S466" s="19"/>
      <c r="T466" s="19"/>
      <c r="U466" s="19"/>
      <c r="V466" s="19"/>
      <c r="W466" s="20"/>
      <c r="X466" s="19"/>
      <c r="Y466" s="21"/>
      <c r="Z466" s="21"/>
      <c r="AA466" s="21"/>
      <c r="AB466" s="21"/>
      <c r="AC466" s="20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</row>
    <row r="467" spans="1:44" ht="15.6" x14ac:dyDescent="0.3">
      <c r="A467" s="19"/>
      <c r="B467" s="19"/>
      <c r="C467" s="20"/>
      <c r="D467" s="19"/>
      <c r="E467" s="20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20"/>
      <c r="Q467" s="19"/>
      <c r="R467" s="19"/>
      <c r="S467" s="19"/>
      <c r="T467" s="19"/>
      <c r="U467" s="19"/>
      <c r="V467" s="19"/>
      <c r="W467" s="20"/>
      <c r="X467" s="19"/>
      <c r="Y467" s="21"/>
      <c r="Z467" s="21"/>
      <c r="AA467" s="21"/>
      <c r="AB467" s="21"/>
      <c r="AC467" s="20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</row>
    <row r="468" spans="1:44" ht="15.6" x14ac:dyDescent="0.3">
      <c r="A468" s="19"/>
      <c r="B468" s="19"/>
      <c r="C468" s="20"/>
      <c r="D468" s="19"/>
      <c r="E468" s="20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20"/>
      <c r="Q468" s="19"/>
      <c r="R468" s="19"/>
      <c r="S468" s="19"/>
      <c r="T468" s="19"/>
      <c r="U468" s="19"/>
      <c r="V468" s="19"/>
      <c r="W468" s="20"/>
      <c r="X468" s="19"/>
      <c r="Y468" s="21"/>
      <c r="Z468" s="21"/>
      <c r="AA468" s="21"/>
      <c r="AB468" s="21"/>
      <c r="AC468" s="20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</row>
    <row r="469" spans="1:44" ht="15.6" x14ac:dyDescent="0.3">
      <c r="A469" s="19"/>
      <c r="B469" s="19"/>
      <c r="C469" s="20"/>
      <c r="D469" s="19"/>
      <c r="E469" s="20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20"/>
      <c r="Q469" s="19"/>
      <c r="R469" s="19"/>
      <c r="S469" s="19"/>
      <c r="T469" s="19"/>
      <c r="U469" s="19"/>
      <c r="V469" s="19"/>
      <c r="W469" s="20"/>
      <c r="X469" s="19"/>
      <c r="Y469" s="21"/>
      <c r="Z469" s="21"/>
      <c r="AA469" s="21"/>
      <c r="AB469" s="21"/>
      <c r="AC469" s="20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</row>
    <row r="470" spans="1:44" ht="15.6" x14ac:dyDescent="0.3">
      <c r="A470" s="19"/>
      <c r="B470" s="19"/>
      <c r="C470" s="20"/>
      <c r="D470" s="19"/>
      <c r="E470" s="20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20"/>
      <c r="Q470" s="19"/>
      <c r="R470" s="19"/>
      <c r="S470" s="19"/>
      <c r="T470" s="19"/>
      <c r="U470" s="19"/>
      <c r="V470" s="19"/>
      <c r="W470" s="20"/>
      <c r="X470" s="19"/>
      <c r="Y470" s="21"/>
      <c r="Z470" s="21"/>
      <c r="AA470" s="21"/>
      <c r="AB470" s="21"/>
      <c r="AC470" s="20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</row>
    <row r="471" spans="1:44" ht="15.6" x14ac:dyDescent="0.3">
      <c r="A471" s="19"/>
      <c r="B471" s="19"/>
      <c r="C471" s="20"/>
      <c r="D471" s="19"/>
      <c r="E471" s="20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20"/>
      <c r="Q471" s="19"/>
      <c r="R471" s="19"/>
      <c r="S471" s="19"/>
      <c r="T471" s="19"/>
      <c r="U471" s="19"/>
      <c r="V471" s="19"/>
      <c r="W471" s="20"/>
      <c r="X471" s="19"/>
      <c r="Y471" s="21"/>
      <c r="Z471" s="21"/>
      <c r="AA471" s="21"/>
      <c r="AB471" s="21"/>
      <c r="AC471" s="20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</row>
    <row r="472" spans="1:44" ht="15.6" x14ac:dyDescent="0.3">
      <c r="A472" s="19"/>
      <c r="B472" s="19"/>
      <c r="C472" s="20"/>
      <c r="D472" s="19"/>
      <c r="E472" s="20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20"/>
      <c r="Q472" s="19"/>
      <c r="R472" s="19"/>
      <c r="S472" s="19"/>
      <c r="T472" s="19"/>
      <c r="U472" s="19"/>
      <c r="V472" s="19"/>
      <c r="W472" s="20"/>
      <c r="X472" s="19"/>
      <c r="Y472" s="21"/>
      <c r="Z472" s="21"/>
      <c r="AA472" s="21"/>
      <c r="AB472" s="21"/>
      <c r="AC472" s="20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</row>
    <row r="473" spans="1:44" ht="15.6" x14ac:dyDescent="0.3">
      <c r="A473" s="19"/>
      <c r="B473" s="19"/>
      <c r="C473" s="20"/>
      <c r="D473" s="19"/>
      <c r="E473" s="20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20"/>
      <c r="Q473" s="19"/>
      <c r="R473" s="19"/>
      <c r="S473" s="19"/>
      <c r="T473" s="19"/>
      <c r="U473" s="19"/>
      <c r="V473" s="19"/>
      <c r="W473" s="20"/>
      <c r="X473" s="19"/>
      <c r="Y473" s="21"/>
      <c r="Z473" s="21"/>
      <c r="AA473" s="21"/>
      <c r="AB473" s="21"/>
      <c r="AC473" s="20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</row>
    <row r="474" spans="1:44" ht="15.6" x14ac:dyDescent="0.3">
      <c r="A474" s="19"/>
      <c r="B474" s="19"/>
      <c r="C474" s="20"/>
      <c r="D474" s="19"/>
      <c r="E474" s="20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20"/>
      <c r="Q474" s="19"/>
      <c r="R474" s="19"/>
      <c r="S474" s="19"/>
      <c r="T474" s="19"/>
      <c r="U474" s="19"/>
      <c r="V474" s="19"/>
      <c r="W474" s="20"/>
      <c r="X474" s="19"/>
      <c r="Y474" s="21"/>
      <c r="Z474" s="21"/>
      <c r="AA474" s="21"/>
      <c r="AB474" s="21"/>
      <c r="AC474" s="20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</row>
    <row r="475" spans="1:44" ht="15.6" x14ac:dyDescent="0.3">
      <c r="A475" s="19"/>
      <c r="B475" s="19"/>
      <c r="C475" s="20"/>
      <c r="D475" s="19"/>
      <c r="E475" s="20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20"/>
      <c r="Q475" s="19"/>
      <c r="R475" s="19"/>
      <c r="S475" s="19"/>
      <c r="T475" s="19"/>
      <c r="U475" s="19"/>
      <c r="V475" s="19"/>
      <c r="W475" s="20"/>
      <c r="X475" s="19"/>
      <c r="Y475" s="21"/>
      <c r="Z475" s="21"/>
      <c r="AA475" s="21"/>
      <c r="AB475" s="21"/>
      <c r="AC475" s="20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</row>
    <row r="476" spans="1:44" ht="15.6" x14ac:dyDescent="0.3">
      <c r="A476" s="19"/>
      <c r="B476" s="19"/>
      <c r="C476" s="20"/>
      <c r="D476" s="19"/>
      <c r="E476" s="20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20"/>
      <c r="Q476" s="19"/>
      <c r="R476" s="19"/>
      <c r="S476" s="19"/>
      <c r="T476" s="19"/>
      <c r="U476" s="19"/>
      <c r="V476" s="19"/>
      <c r="W476" s="20"/>
      <c r="X476" s="19"/>
      <c r="Y476" s="21"/>
      <c r="Z476" s="21"/>
      <c r="AA476" s="21"/>
      <c r="AB476" s="21"/>
      <c r="AC476" s="20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</row>
    <row r="477" spans="1:44" ht="15.6" x14ac:dyDescent="0.3">
      <c r="A477" s="19"/>
      <c r="B477" s="19"/>
      <c r="C477" s="20"/>
      <c r="D477" s="19"/>
      <c r="E477" s="20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20"/>
      <c r="Q477" s="19"/>
      <c r="R477" s="19"/>
      <c r="S477" s="19"/>
      <c r="T477" s="19"/>
      <c r="U477" s="19"/>
      <c r="V477" s="19"/>
      <c r="W477" s="20"/>
      <c r="X477" s="19"/>
      <c r="Y477" s="21"/>
      <c r="Z477" s="21"/>
      <c r="AA477" s="21"/>
      <c r="AB477" s="21"/>
      <c r="AC477" s="20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</row>
    <row r="478" spans="1:44" ht="15.6" x14ac:dyDescent="0.3">
      <c r="A478" s="19"/>
      <c r="B478" s="19"/>
      <c r="C478" s="20"/>
      <c r="D478" s="19"/>
      <c r="E478" s="20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20"/>
      <c r="Q478" s="19"/>
      <c r="R478" s="19"/>
      <c r="S478" s="19"/>
      <c r="T478" s="19"/>
      <c r="U478" s="19"/>
      <c r="V478" s="19"/>
      <c r="W478" s="20"/>
      <c r="X478" s="19"/>
      <c r="Y478" s="21"/>
      <c r="Z478" s="21"/>
      <c r="AA478" s="21"/>
      <c r="AB478" s="21"/>
      <c r="AC478" s="20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</row>
    <row r="479" spans="1:44" ht="15.6" x14ac:dyDescent="0.3">
      <c r="A479" s="19"/>
      <c r="B479" s="19"/>
      <c r="C479" s="20"/>
      <c r="D479" s="19"/>
      <c r="E479" s="20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20"/>
      <c r="Q479" s="19"/>
      <c r="R479" s="19"/>
      <c r="S479" s="19"/>
      <c r="T479" s="19"/>
      <c r="U479" s="19"/>
      <c r="V479" s="19"/>
      <c r="W479" s="20"/>
      <c r="X479" s="19"/>
      <c r="Y479" s="21"/>
      <c r="Z479" s="21"/>
      <c r="AA479" s="21"/>
      <c r="AB479" s="21"/>
      <c r="AC479" s="20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</row>
    <row r="480" spans="1:44" ht="15.6" x14ac:dyDescent="0.3">
      <c r="A480" s="19"/>
      <c r="B480" s="19"/>
      <c r="C480" s="20"/>
      <c r="D480" s="19"/>
      <c r="E480" s="20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20"/>
      <c r="Q480" s="19"/>
      <c r="R480" s="19"/>
      <c r="S480" s="19"/>
      <c r="T480" s="19"/>
      <c r="U480" s="19"/>
      <c r="V480" s="19"/>
      <c r="W480" s="20"/>
      <c r="X480" s="19"/>
      <c r="Y480" s="21"/>
      <c r="Z480" s="21"/>
      <c r="AA480" s="21"/>
      <c r="AB480" s="21"/>
      <c r="AC480" s="20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</row>
    <row r="481" spans="1:44" ht="15.6" x14ac:dyDescent="0.3">
      <c r="A481" s="19"/>
      <c r="B481" s="19"/>
      <c r="C481" s="20"/>
      <c r="D481" s="19"/>
      <c r="E481" s="20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20"/>
      <c r="Q481" s="19"/>
      <c r="R481" s="19"/>
      <c r="S481" s="19"/>
      <c r="T481" s="19"/>
      <c r="U481" s="19"/>
      <c r="V481" s="19"/>
      <c r="W481" s="20"/>
      <c r="X481" s="19"/>
      <c r="Y481" s="21"/>
      <c r="Z481" s="21"/>
      <c r="AA481" s="21"/>
      <c r="AB481" s="21"/>
      <c r="AC481" s="20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</row>
    <row r="482" spans="1:44" ht="15.6" x14ac:dyDescent="0.3">
      <c r="A482" s="19"/>
      <c r="B482" s="19"/>
      <c r="C482" s="20"/>
      <c r="D482" s="19"/>
      <c r="E482" s="20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20"/>
      <c r="Q482" s="19"/>
      <c r="R482" s="19"/>
      <c r="S482" s="19"/>
      <c r="T482" s="19"/>
      <c r="U482" s="19"/>
      <c r="V482" s="19"/>
      <c r="W482" s="20"/>
      <c r="X482" s="19"/>
      <c r="Y482" s="21"/>
      <c r="Z482" s="21"/>
      <c r="AA482" s="21"/>
      <c r="AB482" s="21"/>
      <c r="AC482" s="20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</row>
    <row r="483" spans="1:44" ht="15.6" x14ac:dyDescent="0.3">
      <c r="A483" s="19"/>
      <c r="B483" s="19"/>
      <c r="C483" s="20"/>
      <c r="D483" s="19"/>
      <c r="E483" s="20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20"/>
      <c r="Q483" s="19"/>
      <c r="R483" s="19"/>
      <c r="S483" s="19"/>
      <c r="T483" s="19"/>
      <c r="U483" s="19"/>
      <c r="V483" s="19"/>
      <c r="W483" s="20"/>
      <c r="X483" s="19"/>
      <c r="Y483" s="21"/>
      <c r="Z483" s="21"/>
      <c r="AA483" s="21"/>
      <c r="AB483" s="21"/>
      <c r="AC483" s="20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</row>
    <row r="484" spans="1:44" ht="15.6" x14ac:dyDescent="0.3">
      <c r="A484" s="19"/>
      <c r="B484" s="19"/>
      <c r="C484" s="20"/>
      <c r="D484" s="19"/>
      <c r="E484" s="20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20"/>
      <c r="Q484" s="19"/>
      <c r="R484" s="19"/>
      <c r="S484" s="19"/>
      <c r="T484" s="19"/>
      <c r="U484" s="19"/>
      <c r="V484" s="19"/>
      <c r="W484" s="20"/>
      <c r="X484" s="19"/>
      <c r="Y484" s="21"/>
      <c r="Z484" s="21"/>
      <c r="AA484" s="21"/>
      <c r="AB484" s="21"/>
      <c r="AC484" s="20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</row>
    <row r="485" spans="1:44" ht="15.6" x14ac:dyDescent="0.3">
      <c r="A485" s="19"/>
      <c r="B485" s="19"/>
      <c r="C485" s="20"/>
      <c r="D485" s="19"/>
      <c r="E485" s="20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20"/>
      <c r="Q485" s="19"/>
      <c r="R485" s="19"/>
      <c r="S485" s="19"/>
      <c r="T485" s="19"/>
      <c r="U485" s="19"/>
      <c r="V485" s="19"/>
      <c r="W485" s="20"/>
      <c r="X485" s="19"/>
      <c r="Y485" s="21"/>
      <c r="Z485" s="21"/>
      <c r="AA485" s="21"/>
      <c r="AB485" s="21"/>
      <c r="AC485" s="20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</row>
    <row r="486" spans="1:44" ht="15.6" x14ac:dyDescent="0.3">
      <c r="A486" s="19"/>
      <c r="B486" s="19"/>
      <c r="C486" s="20"/>
      <c r="D486" s="19"/>
      <c r="E486" s="20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20"/>
      <c r="Q486" s="19"/>
      <c r="R486" s="19"/>
      <c r="S486" s="19"/>
      <c r="T486" s="19"/>
      <c r="U486" s="19"/>
      <c r="V486" s="19"/>
      <c r="W486" s="20"/>
      <c r="X486" s="19"/>
      <c r="Y486" s="21"/>
      <c r="Z486" s="21"/>
      <c r="AA486" s="21"/>
      <c r="AB486" s="21"/>
      <c r="AC486" s="20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</row>
    <row r="487" spans="1:44" ht="15.6" x14ac:dyDescent="0.3">
      <c r="A487" s="19"/>
      <c r="B487" s="19"/>
      <c r="C487" s="20"/>
      <c r="D487" s="19"/>
      <c r="E487" s="20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20"/>
      <c r="Q487" s="19"/>
      <c r="R487" s="19"/>
      <c r="S487" s="19"/>
      <c r="T487" s="19"/>
      <c r="U487" s="19"/>
      <c r="V487" s="19"/>
      <c r="W487" s="20"/>
      <c r="X487" s="19"/>
      <c r="Y487" s="21"/>
      <c r="Z487" s="21"/>
      <c r="AA487" s="21"/>
      <c r="AB487" s="21"/>
      <c r="AC487" s="20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</row>
    <row r="488" spans="1:44" ht="15.6" x14ac:dyDescent="0.3">
      <c r="A488" s="19"/>
      <c r="B488" s="19"/>
      <c r="C488" s="20"/>
      <c r="D488" s="19"/>
      <c r="E488" s="20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20"/>
      <c r="Q488" s="19"/>
      <c r="R488" s="19"/>
      <c r="S488" s="19"/>
      <c r="T488" s="19"/>
      <c r="U488" s="19"/>
      <c r="V488" s="19"/>
      <c r="W488" s="20"/>
      <c r="X488" s="19"/>
      <c r="Y488" s="21"/>
      <c r="Z488" s="21"/>
      <c r="AA488" s="21"/>
      <c r="AB488" s="21"/>
      <c r="AC488" s="20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</row>
    <row r="489" spans="1:44" ht="15.6" x14ac:dyDescent="0.3">
      <c r="A489" s="19"/>
      <c r="B489" s="19"/>
      <c r="C489" s="20"/>
      <c r="D489" s="19"/>
      <c r="E489" s="20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20"/>
      <c r="Q489" s="19"/>
      <c r="R489" s="19"/>
      <c r="S489" s="19"/>
      <c r="T489" s="19"/>
      <c r="U489" s="19"/>
      <c r="V489" s="19"/>
      <c r="W489" s="20"/>
      <c r="X489" s="19"/>
      <c r="Y489" s="21"/>
      <c r="Z489" s="21"/>
      <c r="AA489" s="21"/>
      <c r="AB489" s="21"/>
      <c r="AC489" s="20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</row>
    <row r="490" spans="1:44" ht="15.6" x14ac:dyDescent="0.3">
      <c r="A490" s="19"/>
      <c r="B490" s="19"/>
      <c r="C490" s="20"/>
      <c r="D490" s="19"/>
      <c r="E490" s="20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20"/>
      <c r="Q490" s="19"/>
      <c r="R490" s="19"/>
      <c r="S490" s="19"/>
      <c r="T490" s="19"/>
      <c r="U490" s="19"/>
      <c r="V490" s="19"/>
      <c r="W490" s="20"/>
      <c r="X490" s="19"/>
      <c r="Y490" s="21"/>
      <c r="Z490" s="21"/>
      <c r="AA490" s="21"/>
      <c r="AB490" s="21"/>
      <c r="AC490" s="20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</row>
    <row r="491" spans="1:44" ht="15.6" x14ac:dyDescent="0.3">
      <c r="A491" s="19"/>
      <c r="B491" s="19"/>
      <c r="C491" s="20"/>
      <c r="D491" s="19"/>
      <c r="E491" s="20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20"/>
      <c r="Q491" s="19"/>
      <c r="R491" s="19"/>
      <c r="S491" s="19"/>
      <c r="T491" s="19"/>
      <c r="U491" s="19"/>
      <c r="V491" s="19"/>
      <c r="W491" s="20"/>
      <c r="X491" s="19"/>
      <c r="Y491" s="21"/>
      <c r="Z491" s="21"/>
      <c r="AA491" s="21"/>
      <c r="AB491" s="21"/>
      <c r="AC491" s="20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</row>
    <row r="492" spans="1:44" ht="15.6" x14ac:dyDescent="0.3">
      <c r="A492" s="19"/>
      <c r="B492" s="19"/>
      <c r="C492" s="20"/>
      <c r="D492" s="19"/>
      <c r="E492" s="20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20"/>
      <c r="Q492" s="19"/>
      <c r="R492" s="19"/>
      <c r="S492" s="19"/>
      <c r="T492" s="19"/>
      <c r="U492" s="19"/>
      <c r="V492" s="19"/>
      <c r="W492" s="20"/>
      <c r="X492" s="19"/>
      <c r="Y492" s="21"/>
      <c r="Z492" s="21"/>
      <c r="AA492" s="21"/>
      <c r="AB492" s="21"/>
      <c r="AC492" s="20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</row>
    <row r="493" spans="1:44" ht="15.6" x14ac:dyDescent="0.3">
      <c r="A493" s="19"/>
      <c r="B493" s="19"/>
      <c r="C493" s="20"/>
      <c r="D493" s="19"/>
      <c r="E493" s="20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20"/>
      <c r="Q493" s="19"/>
      <c r="R493" s="19"/>
      <c r="S493" s="19"/>
      <c r="T493" s="19"/>
      <c r="U493" s="19"/>
      <c r="V493" s="19"/>
      <c r="W493" s="20"/>
      <c r="X493" s="19"/>
      <c r="Y493" s="21"/>
      <c r="Z493" s="21"/>
      <c r="AA493" s="21"/>
      <c r="AB493" s="21"/>
      <c r="AC493" s="20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</row>
    <row r="494" spans="1:44" ht="15.6" x14ac:dyDescent="0.3">
      <c r="A494" s="19"/>
      <c r="B494" s="19"/>
      <c r="C494" s="20"/>
      <c r="D494" s="19"/>
      <c r="E494" s="20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20"/>
      <c r="Q494" s="19"/>
      <c r="R494" s="19"/>
      <c r="S494" s="19"/>
      <c r="T494" s="19"/>
      <c r="U494" s="19"/>
      <c r="V494" s="19"/>
      <c r="W494" s="20"/>
      <c r="X494" s="19"/>
      <c r="Y494" s="21"/>
      <c r="Z494" s="21"/>
      <c r="AA494" s="21"/>
      <c r="AB494" s="21"/>
      <c r="AC494" s="20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</row>
    <row r="495" spans="1:44" ht="15.6" x14ac:dyDescent="0.3">
      <c r="A495" s="19"/>
      <c r="B495" s="19"/>
      <c r="C495" s="20"/>
      <c r="D495" s="19"/>
      <c r="E495" s="20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20"/>
      <c r="Q495" s="19"/>
      <c r="R495" s="19"/>
      <c r="S495" s="19"/>
      <c r="T495" s="19"/>
      <c r="U495" s="19"/>
      <c r="V495" s="19"/>
      <c r="W495" s="20"/>
      <c r="X495" s="19"/>
      <c r="Y495" s="21"/>
      <c r="Z495" s="21"/>
      <c r="AA495" s="21"/>
      <c r="AB495" s="21"/>
      <c r="AC495" s="20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</row>
    <row r="496" spans="1:44" ht="15.6" x14ac:dyDescent="0.3">
      <c r="A496" s="19"/>
      <c r="B496" s="19"/>
      <c r="C496" s="20"/>
      <c r="D496" s="19"/>
      <c r="E496" s="20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20"/>
      <c r="Q496" s="19"/>
      <c r="R496" s="19"/>
      <c r="S496" s="19"/>
      <c r="T496" s="19"/>
      <c r="U496" s="19"/>
      <c r="V496" s="19"/>
      <c r="W496" s="20"/>
      <c r="X496" s="19"/>
      <c r="Y496" s="21"/>
      <c r="Z496" s="21"/>
      <c r="AA496" s="21"/>
      <c r="AB496" s="21"/>
      <c r="AC496" s="20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</row>
    <row r="497" spans="1:44" ht="15.6" x14ac:dyDescent="0.3">
      <c r="A497" s="19"/>
      <c r="B497" s="19"/>
      <c r="C497" s="20"/>
      <c r="D497" s="19"/>
      <c r="E497" s="20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20"/>
      <c r="Q497" s="19"/>
      <c r="R497" s="19"/>
      <c r="S497" s="19"/>
      <c r="T497" s="19"/>
      <c r="U497" s="19"/>
      <c r="V497" s="19"/>
      <c r="W497" s="20"/>
      <c r="X497" s="19"/>
      <c r="Y497" s="21"/>
      <c r="Z497" s="21"/>
      <c r="AA497" s="21"/>
      <c r="AB497" s="21"/>
      <c r="AC497" s="20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</row>
    <row r="498" spans="1:44" ht="15.6" x14ac:dyDescent="0.3">
      <c r="A498" s="19"/>
      <c r="B498" s="19"/>
      <c r="C498" s="20"/>
      <c r="D498" s="19"/>
      <c r="E498" s="20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20"/>
      <c r="Q498" s="19"/>
      <c r="R498" s="19"/>
      <c r="S498" s="19"/>
      <c r="T498" s="19"/>
      <c r="U498" s="19"/>
      <c r="V498" s="19"/>
      <c r="W498" s="20"/>
      <c r="X498" s="19"/>
      <c r="Y498" s="21"/>
      <c r="Z498" s="21"/>
      <c r="AA498" s="21"/>
      <c r="AB498" s="21"/>
      <c r="AC498" s="20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</row>
    <row r="499" spans="1:44" ht="15.6" x14ac:dyDescent="0.3">
      <c r="A499" s="19"/>
      <c r="B499" s="19"/>
      <c r="C499" s="20"/>
      <c r="D499" s="19"/>
      <c r="E499" s="20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20"/>
      <c r="Q499" s="19"/>
      <c r="R499" s="19"/>
      <c r="S499" s="19"/>
      <c r="T499" s="19"/>
      <c r="U499" s="19"/>
      <c r="V499" s="19"/>
      <c r="W499" s="20"/>
      <c r="X499" s="19"/>
      <c r="Y499" s="21"/>
      <c r="Z499" s="21"/>
      <c r="AA499" s="21"/>
      <c r="AB499" s="21"/>
      <c r="AC499" s="20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</row>
    <row r="500" spans="1:44" ht="15.6" x14ac:dyDescent="0.3">
      <c r="A500" s="19"/>
      <c r="B500" s="19"/>
      <c r="C500" s="20"/>
      <c r="D500" s="19"/>
      <c r="E500" s="20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20"/>
      <c r="Q500" s="19"/>
      <c r="R500" s="19"/>
      <c r="S500" s="19"/>
      <c r="T500" s="19"/>
      <c r="U500" s="19"/>
      <c r="V500" s="19"/>
      <c r="W500" s="20"/>
      <c r="X500" s="19"/>
      <c r="Y500" s="21"/>
      <c r="Z500" s="21"/>
      <c r="AA500" s="21"/>
      <c r="AB500" s="21"/>
      <c r="AC500" s="20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</row>
    <row r="501" spans="1:44" ht="15.6" x14ac:dyDescent="0.3">
      <c r="A501" s="19"/>
      <c r="B501" s="19"/>
      <c r="C501" s="20"/>
      <c r="D501" s="19"/>
      <c r="E501" s="20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20"/>
      <c r="Q501" s="19"/>
      <c r="R501" s="19"/>
      <c r="S501" s="19"/>
      <c r="T501" s="19"/>
      <c r="U501" s="19"/>
      <c r="V501" s="19"/>
      <c r="W501" s="20"/>
      <c r="X501" s="19"/>
      <c r="Y501" s="21"/>
      <c r="Z501" s="21"/>
      <c r="AA501" s="21"/>
      <c r="AB501" s="21"/>
      <c r="AC501" s="20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</row>
    <row r="502" spans="1:44" ht="15.6" x14ac:dyDescent="0.3">
      <c r="A502" s="19"/>
      <c r="B502" s="19"/>
      <c r="C502" s="20"/>
      <c r="D502" s="19"/>
      <c r="E502" s="20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20"/>
      <c r="Q502" s="19"/>
      <c r="R502" s="19"/>
      <c r="S502" s="19"/>
      <c r="T502" s="19"/>
      <c r="U502" s="19"/>
      <c r="V502" s="19"/>
      <c r="W502" s="20"/>
      <c r="X502" s="19"/>
      <c r="Y502" s="21"/>
      <c r="Z502" s="21"/>
      <c r="AA502" s="21"/>
      <c r="AB502" s="21"/>
      <c r="AC502" s="20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</row>
    <row r="503" spans="1:44" ht="15.6" x14ac:dyDescent="0.3">
      <c r="A503" s="19"/>
      <c r="B503" s="19"/>
      <c r="C503" s="20"/>
      <c r="D503" s="19"/>
      <c r="E503" s="20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20"/>
      <c r="Q503" s="19"/>
      <c r="R503" s="19"/>
      <c r="S503" s="19"/>
      <c r="T503" s="19"/>
      <c r="U503" s="19"/>
      <c r="V503" s="19"/>
      <c r="W503" s="20"/>
      <c r="X503" s="19"/>
      <c r="Y503" s="21"/>
      <c r="Z503" s="21"/>
      <c r="AA503" s="21"/>
      <c r="AB503" s="21"/>
      <c r="AC503" s="20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</row>
    <row r="504" spans="1:44" ht="15.6" x14ac:dyDescent="0.3">
      <c r="A504" s="19"/>
      <c r="B504" s="19"/>
      <c r="C504" s="20"/>
      <c r="D504" s="19"/>
      <c r="E504" s="20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20"/>
      <c r="Q504" s="19"/>
      <c r="R504" s="19"/>
      <c r="S504" s="19"/>
      <c r="T504" s="19"/>
      <c r="U504" s="19"/>
      <c r="V504" s="19"/>
      <c r="W504" s="20"/>
      <c r="X504" s="19"/>
      <c r="Y504" s="21"/>
      <c r="Z504" s="21"/>
      <c r="AA504" s="21"/>
      <c r="AB504" s="21"/>
      <c r="AC504" s="20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</row>
    <row r="505" spans="1:44" ht="15.6" x14ac:dyDescent="0.3">
      <c r="A505" s="19"/>
      <c r="B505" s="19"/>
      <c r="C505" s="20"/>
      <c r="D505" s="19"/>
      <c r="E505" s="20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20"/>
      <c r="Q505" s="19"/>
      <c r="R505" s="19"/>
      <c r="S505" s="19"/>
      <c r="T505" s="19"/>
      <c r="U505" s="19"/>
      <c r="V505" s="19"/>
      <c r="W505" s="20"/>
      <c r="X505" s="19"/>
      <c r="Y505" s="21"/>
      <c r="Z505" s="21"/>
      <c r="AA505" s="21"/>
      <c r="AB505" s="21"/>
      <c r="AC505" s="20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</row>
    <row r="506" spans="1:44" ht="15.6" x14ac:dyDescent="0.3">
      <c r="A506" s="19"/>
      <c r="B506" s="19"/>
      <c r="C506" s="20"/>
      <c r="D506" s="19"/>
      <c r="E506" s="20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20"/>
      <c r="Q506" s="19"/>
      <c r="R506" s="19"/>
      <c r="S506" s="19"/>
      <c r="T506" s="19"/>
      <c r="U506" s="19"/>
      <c r="V506" s="19"/>
      <c r="W506" s="20"/>
      <c r="X506" s="19"/>
      <c r="Y506" s="21"/>
      <c r="Z506" s="21"/>
      <c r="AA506" s="21"/>
      <c r="AB506" s="21"/>
      <c r="AC506" s="20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</row>
    <row r="507" spans="1:44" ht="15.6" x14ac:dyDescent="0.3">
      <c r="A507" s="19"/>
      <c r="B507" s="19"/>
      <c r="C507" s="20"/>
      <c r="D507" s="19"/>
      <c r="E507" s="20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20"/>
      <c r="Q507" s="19"/>
      <c r="R507" s="19"/>
      <c r="S507" s="19"/>
      <c r="T507" s="19"/>
      <c r="U507" s="19"/>
      <c r="V507" s="19"/>
      <c r="W507" s="20"/>
      <c r="X507" s="19"/>
      <c r="Y507" s="21"/>
      <c r="Z507" s="21"/>
      <c r="AA507" s="21"/>
      <c r="AB507" s="21"/>
      <c r="AC507" s="20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</row>
    <row r="508" spans="1:44" ht="15.6" x14ac:dyDescent="0.3">
      <c r="A508" s="19"/>
      <c r="B508" s="19"/>
      <c r="C508" s="20"/>
      <c r="D508" s="19"/>
      <c r="E508" s="20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20"/>
      <c r="Q508" s="19"/>
      <c r="R508" s="19"/>
      <c r="S508" s="19"/>
      <c r="T508" s="19"/>
      <c r="U508" s="19"/>
      <c r="V508" s="19"/>
      <c r="W508" s="20"/>
      <c r="X508" s="19"/>
      <c r="Y508" s="21"/>
      <c r="Z508" s="21"/>
      <c r="AA508" s="21"/>
      <c r="AB508" s="21"/>
      <c r="AC508" s="20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</row>
    <row r="509" spans="1:44" ht="15.6" x14ac:dyDescent="0.3">
      <c r="A509" s="19"/>
      <c r="B509" s="19"/>
      <c r="C509" s="20"/>
      <c r="D509" s="19"/>
      <c r="E509" s="20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20"/>
      <c r="Q509" s="19"/>
      <c r="R509" s="19"/>
      <c r="S509" s="19"/>
      <c r="T509" s="19"/>
      <c r="U509" s="19"/>
      <c r="V509" s="19"/>
      <c r="W509" s="20"/>
      <c r="X509" s="19"/>
      <c r="Y509" s="21"/>
      <c r="Z509" s="21"/>
      <c r="AA509" s="21"/>
      <c r="AB509" s="21"/>
      <c r="AC509" s="20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</row>
    <row r="510" spans="1:44" ht="15.6" x14ac:dyDescent="0.3">
      <c r="A510" s="19"/>
      <c r="B510" s="19"/>
      <c r="C510" s="20"/>
      <c r="D510" s="19"/>
      <c r="E510" s="20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20"/>
      <c r="Q510" s="19"/>
      <c r="R510" s="19"/>
      <c r="S510" s="19"/>
      <c r="T510" s="19"/>
      <c r="U510" s="19"/>
      <c r="V510" s="19"/>
      <c r="W510" s="20"/>
      <c r="X510" s="19"/>
      <c r="Y510" s="21"/>
      <c r="Z510" s="21"/>
      <c r="AA510" s="21"/>
      <c r="AB510" s="21"/>
      <c r="AC510" s="20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</row>
    <row r="511" spans="1:44" ht="15.6" x14ac:dyDescent="0.3">
      <c r="A511" s="19"/>
      <c r="B511" s="19"/>
      <c r="C511" s="20"/>
      <c r="D511" s="19"/>
      <c r="E511" s="20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20"/>
      <c r="Q511" s="19"/>
      <c r="R511" s="19"/>
      <c r="S511" s="19"/>
      <c r="T511" s="19"/>
      <c r="U511" s="19"/>
      <c r="V511" s="19"/>
      <c r="W511" s="20"/>
      <c r="X511" s="19"/>
      <c r="Y511" s="21"/>
      <c r="Z511" s="21"/>
      <c r="AA511" s="21"/>
      <c r="AB511" s="21"/>
      <c r="AC511" s="20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</row>
    <row r="512" spans="1:44" ht="15.6" x14ac:dyDescent="0.3">
      <c r="A512" s="19"/>
      <c r="B512" s="19"/>
      <c r="C512" s="20"/>
      <c r="D512" s="19"/>
      <c r="E512" s="20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20"/>
      <c r="Q512" s="19"/>
      <c r="R512" s="19"/>
      <c r="S512" s="19"/>
      <c r="T512" s="19"/>
      <c r="U512" s="19"/>
      <c r="V512" s="19"/>
      <c r="W512" s="20"/>
      <c r="X512" s="19"/>
      <c r="Y512" s="21"/>
      <c r="Z512" s="21"/>
      <c r="AA512" s="21"/>
      <c r="AB512" s="21"/>
      <c r="AC512" s="20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</row>
    <row r="513" spans="1:44" ht="15.6" x14ac:dyDescent="0.3">
      <c r="A513" s="19"/>
      <c r="B513" s="19"/>
      <c r="C513" s="20"/>
      <c r="D513" s="19"/>
      <c r="E513" s="20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20"/>
      <c r="Q513" s="19"/>
      <c r="R513" s="19"/>
      <c r="S513" s="19"/>
      <c r="T513" s="19"/>
      <c r="U513" s="19"/>
      <c r="V513" s="19"/>
      <c r="W513" s="20"/>
      <c r="X513" s="19"/>
      <c r="Y513" s="21"/>
      <c r="Z513" s="21"/>
      <c r="AA513" s="21"/>
      <c r="AB513" s="21"/>
      <c r="AC513" s="20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</row>
    <row r="514" spans="1:44" ht="15.6" x14ac:dyDescent="0.3">
      <c r="A514" s="19"/>
      <c r="B514" s="19"/>
      <c r="C514" s="20"/>
      <c r="D514" s="19"/>
      <c r="E514" s="20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20"/>
      <c r="Q514" s="19"/>
      <c r="R514" s="19"/>
      <c r="S514" s="19"/>
      <c r="T514" s="19"/>
      <c r="U514" s="19"/>
      <c r="V514" s="19"/>
      <c r="W514" s="20"/>
      <c r="X514" s="19"/>
      <c r="Y514" s="21"/>
      <c r="Z514" s="21"/>
      <c r="AA514" s="21"/>
      <c r="AB514" s="21"/>
      <c r="AC514" s="20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</row>
    <row r="515" spans="1:44" ht="15.6" x14ac:dyDescent="0.3">
      <c r="A515" s="19"/>
      <c r="B515" s="19"/>
      <c r="C515" s="20"/>
      <c r="D515" s="19"/>
      <c r="E515" s="20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20"/>
      <c r="Q515" s="19"/>
      <c r="R515" s="19"/>
      <c r="S515" s="19"/>
      <c r="T515" s="19"/>
      <c r="U515" s="19"/>
      <c r="V515" s="19"/>
      <c r="W515" s="20"/>
      <c r="X515" s="19"/>
      <c r="Y515" s="21"/>
      <c r="Z515" s="21"/>
      <c r="AA515" s="21"/>
      <c r="AB515" s="21"/>
      <c r="AC515" s="20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</row>
    <row r="516" spans="1:44" ht="15.6" x14ac:dyDescent="0.3">
      <c r="A516" s="19"/>
      <c r="B516" s="19"/>
      <c r="C516" s="20"/>
      <c r="D516" s="19"/>
      <c r="E516" s="20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20"/>
      <c r="Q516" s="19"/>
      <c r="R516" s="19"/>
      <c r="S516" s="19"/>
      <c r="T516" s="19"/>
      <c r="U516" s="19"/>
      <c r="V516" s="19"/>
      <c r="W516" s="20"/>
      <c r="X516" s="19"/>
      <c r="Y516" s="21"/>
      <c r="Z516" s="21"/>
      <c r="AA516" s="21"/>
      <c r="AB516" s="21"/>
      <c r="AC516" s="20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</row>
    <row r="517" spans="1:44" ht="15.6" x14ac:dyDescent="0.3">
      <c r="A517" s="19"/>
      <c r="B517" s="19"/>
      <c r="C517" s="20"/>
      <c r="D517" s="19"/>
      <c r="E517" s="20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20"/>
      <c r="Q517" s="19"/>
      <c r="R517" s="19"/>
      <c r="S517" s="19"/>
      <c r="T517" s="19"/>
      <c r="U517" s="19"/>
      <c r="V517" s="19"/>
      <c r="W517" s="20"/>
      <c r="X517" s="19"/>
      <c r="Y517" s="21"/>
      <c r="Z517" s="21"/>
      <c r="AA517" s="21"/>
      <c r="AB517" s="21"/>
      <c r="AC517" s="20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</row>
    <row r="518" spans="1:44" ht="15.6" x14ac:dyDescent="0.3">
      <c r="A518" s="19"/>
      <c r="B518" s="19"/>
      <c r="C518" s="20"/>
      <c r="D518" s="19"/>
      <c r="E518" s="20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20"/>
      <c r="Q518" s="19"/>
      <c r="R518" s="19"/>
      <c r="S518" s="19"/>
      <c r="T518" s="19"/>
      <c r="U518" s="19"/>
      <c r="V518" s="19"/>
      <c r="W518" s="20"/>
      <c r="X518" s="19"/>
      <c r="Y518" s="21"/>
      <c r="Z518" s="21"/>
      <c r="AA518" s="21"/>
      <c r="AB518" s="21"/>
      <c r="AC518" s="20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</row>
    <row r="519" spans="1:44" ht="15.6" x14ac:dyDescent="0.3">
      <c r="A519" s="19"/>
      <c r="B519" s="19"/>
      <c r="C519" s="20"/>
      <c r="D519" s="19"/>
      <c r="E519" s="20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20"/>
      <c r="Q519" s="19"/>
      <c r="R519" s="19"/>
      <c r="S519" s="19"/>
      <c r="T519" s="19"/>
      <c r="U519" s="19"/>
      <c r="V519" s="19"/>
      <c r="W519" s="20"/>
      <c r="X519" s="19"/>
      <c r="Y519" s="21"/>
      <c r="Z519" s="21"/>
      <c r="AA519" s="21"/>
      <c r="AB519" s="21"/>
      <c r="AC519" s="20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</row>
    <row r="520" spans="1:44" ht="15.6" x14ac:dyDescent="0.3">
      <c r="A520" s="19"/>
      <c r="B520" s="19"/>
      <c r="C520" s="20"/>
      <c r="D520" s="19"/>
      <c r="E520" s="20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20"/>
      <c r="Q520" s="19"/>
      <c r="R520" s="19"/>
      <c r="S520" s="19"/>
      <c r="T520" s="19"/>
      <c r="U520" s="19"/>
      <c r="V520" s="19"/>
      <c r="W520" s="20"/>
      <c r="X520" s="19"/>
      <c r="Y520" s="21"/>
      <c r="Z520" s="21"/>
      <c r="AA520" s="21"/>
      <c r="AB520" s="21"/>
      <c r="AC520" s="20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</row>
    <row r="521" spans="1:44" ht="15.6" x14ac:dyDescent="0.3">
      <c r="A521" s="19"/>
      <c r="B521" s="19"/>
      <c r="C521" s="20"/>
      <c r="D521" s="19"/>
      <c r="E521" s="20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20"/>
      <c r="Q521" s="19"/>
      <c r="R521" s="19"/>
      <c r="S521" s="19"/>
      <c r="T521" s="19"/>
      <c r="U521" s="19"/>
      <c r="V521" s="19"/>
      <c r="W521" s="20"/>
      <c r="X521" s="19"/>
      <c r="Y521" s="21"/>
      <c r="Z521" s="21"/>
      <c r="AA521" s="21"/>
      <c r="AB521" s="21"/>
      <c r="AC521" s="20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</row>
    <row r="522" spans="1:44" ht="15.6" x14ac:dyDescent="0.3">
      <c r="A522" s="19"/>
      <c r="B522" s="19"/>
      <c r="C522" s="20"/>
      <c r="D522" s="19"/>
      <c r="E522" s="20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20"/>
      <c r="Q522" s="19"/>
      <c r="R522" s="19"/>
      <c r="S522" s="19"/>
      <c r="T522" s="19"/>
      <c r="U522" s="19"/>
      <c r="V522" s="19"/>
      <c r="W522" s="20"/>
      <c r="X522" s="19"/>
      <c r="Y522" s="21"/>
      <c r="Z522" s="21"/>
      <c r="AA522" s="21"/>
      <c r="AB522" s="21"/>
      <c r="AC522" s="20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</row>
    <row r="523" spans="1:44" ht="15.6" x14ac:dyDescent="0.3">
      <c r="A523" s="19"/>
      <c r="B523" s="19"/>
      <c r="C523" s="20"/>
      <c r="D523" s="19"/>
      <c r="E523" s="20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20"/>
      <c r="Q523" s="19"/>
      <c r="R523" s="19"/>
      <c r="S523" s="19"/>
      <c r="T523" s="19"/>
      <c r="U523" s="19"/>
      <c r="V523" s="19"/>
      <c r="W523" s="20"/>
      <c r="X523" s="19"/>
      <c r="Y523" s="21"/>
      <c r="Z523" s="21"/>
      <c r="AA523" s="21"/>
      <c r="AB523" s="21"/>
      <c r="AC523" s="20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</row>
    <row r="524" spans="1:44" ht="15.6" x14ac:dyDescent="0.3">
      <c r="A524" s="19"/>
      <c r="B524" s="19"/>
      <c r="C524" s="20"/>
      <c r="D524" s="19"/>
      <c r="E524" s="20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20"/>
      <c r="Q524" s="19"/>
      <c r="R524" s="19"/>
      <c r="S524" s="19"/>
      <c r="T524" s="19"/>
      <c r="U524" s="19"/>
      <c r="V524" s="19"/>
      <c r="W524" s="20"/>
      <c r="X524" s="19"/>
      <c r="Y524" s="21"/>
      <c r="Z524" s="21"/>
      <c r="AA524" s="21"/>
      <c r="AB524" s="21"/>
      <c r="AC524" s="20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</row>
    <row r="525" spans="1:44" ht="15.6" x14ac:dyDescent="0.3">
      <c r="A525" s="19"/>
      <c r="B525" s="19"/>
      <c r="C525" s="20"/>
      <c r="D525" s="19"/>
      <c r="E525" s="20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20"/>
      <c r="Q525" s="19"/>
      <c r="R525" s="19"/>
      <c r="S525" s="19"/>
      <c r="T525" s="19"/>
      <c r="U525" s="19"/>
      <c r="V525" s="19"/>
      <c r="W525" s="20"/>
      <c r="X525" s="19"/>
      <c r="Y525" s="21"/>
      <c r="Z525" s="21"/>
      <c r="AA525" s="21"/>
      <c r="AB525" s="21"/>
      <c r="AC525" s="20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</row>
    <row r="526" spans="1:44" ht="15.6" x14ac:dyDescent="0.3">
      <c r="A526" s="19"/>
      <c r="B526" s="19"/>
      <c r="C526" s="20"/>
      <c r="D526" s="19"/>
      <c r="E526" s="20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20"/>
      <c r="Q526" s="19"/>
      <c r="R526" s="19"/>
      <c r="S526" s="19"/>
      <c r="T526" s="19"/>
      <c r="U526" s="19"/>
      <c r="V526" s="19"/>
      <c r="W526" s="20"/>
      <c r="X526" s="19"/>
      <c r="Y526" s="21"/>
      <c r="Z526" s="21"/>
      <c r="AA526" s="21"/>
      <c r="AB526" s="21"/>
      <c r="AC526" s="20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</row>
    <row r="527" spans="1:44" ht="15.6" x14ac:dyDescent="0.3">
      <c r="A527" s="19"/>
      <c r="B527" s="19"/>
      <c r="C527" s="20"/>
      <c r="D527" s="19"/>
      <c r="E527" s="20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20"/>
      <c r="Q527" s="19"/>
      <c r="R527" s="19"/>
      <c r="S527" s="19"/>
      <c r="T527" s="19"/>
      <c r="U527" s="19"/>
      <c r="V527" s="19"/>
      <c r="W527" s="20"/>
      <c r="X527" s="19"/>
      <c r="Y527" s="21"/>
      <c r="Z527" s="21"/>
      <c r="AA527" s="21"/>
      <c r="AB527" s="21"/>
      <c r="AC527" s="20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</row>
    <row r="528" spans="1:44" ht="15.6" x14ac:dyDescent="0.3">
      <c r="A528" s="19"/>
      <c r="B528" s="19"/>
      <c r="C528" s="20"/>
      <c r="D528" s="19"/>
      <c r="E528" s="20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20"/>
      <c r="Q528" s="19"/>
      <c r="R528" s="19"/>
      <c r="S528" s="19"/>
      <c r="T528" s="19"/>
      <c r="U528" s="19"/>
      <c r="V528" s="19"/>
      <c r="W528" s="20"/>
      <c r="X528" s="19"/>
      <c r="Y528" s="21"/>
      <c r="Z528" s="21"/>
      <c r="AA528" s="21"/>
      <c r="AB528" s="21"/>
      <c r="AC528" s="20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</row>
    <row r="529" spans="1:44" ht="15.6" x14ac:dyDescent="0.3">
      <c r="A529" s="19"/>
      <c r="B529" s="19"/>
      <c r="C529" s="20"/>
      <c r="D529" s="19"/>
      <c r="E529" s="20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20"/>
      <c r="Q529" s="19"/>
      <c r="R529" s="19"/>
      <c r="S529" s="19"/>
      <c r="T529" s="19"/>
      <c r="U529" s="19"/>
      <c r="V529" s="19"/>
      <c r="W529" s="20"/>
      <c r="X529" s="19"/>
      <c r="Y529" s="21"/>
      <c r="Z529" s="21"/>
      <c r="AA529" s="21"/>
      <c r="AB529" s="21"/>
      <c r="AC529" s="20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</row>
    <row r="530" spans="1:44" ht="15.6" x14ac:dyDescent="0.3">
      <c r="A530" s="19"/>
      <c r="B530" s="19"/>
      <c r="C530" s="20"/>
      <c r="D530" s="19"/>
      <c r="E530" s="20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20"/>
      <c r="Q530" s="19"/>
      <c r="R530" s="19"/>
      <c r="S530" s="19"/>
      <c r="T530" s="19"/>
      <c r="U530" s="19"/>
      <c r="V530" s="19"/>
      <c r="W530" s="20"/>
      <c r="X530" s="19"/>
      <c r="Y530" s="21"/>
      <c r="Z530" s="21"/>
      <c r="AA530" s="21"/>
      <c r="AB530" s="21"/>
      <c r="AC530" s="20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</row>
    <row r="531" spans="1:44" ht="15.6" x14ac:dyDescent="0.3">
      <c r="A531" s="19"/>
      <c r="B531" s="19"/>
      <c r="C531" s="20"/>
      <c r="D531" s="19"/>
      <c r="E531" s="20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20"/>
      <c r="Q531" s="19"/>
      <c r="R531" s="19"/>
      <c r="S531" s="19"/>
      <c r="T531" s="19"/>
      <c r="U531" s="19"/>
      <c r="V531" s="19"/>
      <c r="W531" s="20"/>
      <c r="X531" s="19"/>
      <c r="Y531" s="21"/>
      <c r="Z531" s="21"/>
      <c r="AA531" s="21"/>
      <c r="AB531" s="21"/>
      <c r="AC531" s="20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</row>
    <row r="532" spans="1:44" ht="15.6" x14ac:dyDescent="0.3">
      <c r="A532" s="19"/>
      <c r="B532" s="19"/>
      <c r="C532" s="20"/>
      <c r="D532" s="19"/>
      <c r="E532" s="20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20"/>
      <c r="Q532" s="19"/>
      <c r="R532" s="19"/>
      <c r="S532" s="19"/>
      <c r="T532" s="19"/>
      <c r="U532" s="19"/>
      <c r="V532" s="19"/>
      <c r="W532" s="20"/>
      <c r="X532" s="19"/>
      <c r="Y532" s="21"/>
      <c r="Z532" s="21"/>
      <c r="AA532" s="21"/>
      <c r="AB532" s="21"/>
      <c r="AC532" s="20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</row>
    <row r="533" spans="1:44" ht="15.6" x14ac:dyDescent="0.3">
      <c r="A533" s="19"/>
      <c r="B533" s="19"/>
      <c r="C533" s="20"/>
      <c r="D533" s="19"/>
      <c r="E533" s="20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20"/>
      <c r="Q533" s="19"/>
      <c r="R533" s="19"/>
      <c r="S533" s="19"/>
      <c r="T533" s="19"/>
      <c r="U533" s="19"/>
      <c r="V533" s="19"/>
      <c r="W533" s="20"/>
      <c r="X533" s="19"/>
      <c r="Y533" s="21"/>
      <c r="Z533" s="21"/>
      <c r="AA533" s="21"/>
      <c r="AB533" s="21"/>
      <c r="AC533" s="20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</row>
    <row r="534" spans="1:44" ht="15.6" x14ac:dyDescent="0.3">
      <c r="A534" s="19"/>
      <c r="B534" s="19"/>
      <c r="C534" s="20"/>
      <c r="D534" s="19"/>
      <c r="E534" s="20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20"/>
      <c r="Q534" s="19"/>
      <c r="R534" s="19"/>
      <c r="S534" s="19"/>
      <c r="T534" s="19"/>
      <c r="U534" s="19"/>
      <c r="V534" s="19"/>
      <c r="W534" s="20"/>
      <c r="X534" s="19"/>
      <c r="Y534" s="21"/>
      <c r="Z534" s="21"/>
      <c r="AA534" s="21"/>
      <c r="AB534" s="21"/>
      <c r="AC534" s="20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</row>
    <row r="535" spans="1:44" ht="15.6" x14ac:dyDescent="0.3">
      <c r="A535" s="19"/>
      <c r="B535" s="19"/>
      <c r="C535" s="20"/>
      <c r="D535" s="19"/>
      <c r="E535" s="20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20"/>
      <c r="Q535" s="19"/>
      <c r="R535" s="19"/>
      <c r="S535" s="19"/>
      <c r="T535" s="19"/>
      <c r="U535" s="19"/>
      <c r="V535" s="19"/>
      <c r="W535" s="20"/>
      <c r="X535" s="19"/>
      <c r="Y535" s="21"/>
      <c r="Z535" s="21"/>
      <c r="AA535" s="21"/>
      <c r="AB535" s="21"/>
      <c r="AC535" s="20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</row>
    <row r="536" spans="1:44" ht="15.6" x14ac:dyDescent="0.3">
      <c r="A536" s="19"/>
      <c r="B536" s="19"/>
      <c r="C536" s="20"/>
      <c r="D536" s="19"/>
      <c r="E536" s="20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20"/>
      <c r="Q536" s="19"/>
      <c r="R536" s="19"/>
      <c r="S536" s="19"/>
      <c r="T536" s="19"/>
      <c r="U536" s="19"/>
      <c r="V536" s="19"/>
      <c r="W536" s="20"/>
      <c r="X536" s="19"/>
      <c r="Y536" s="21"/>
      <c r="Z536" s="21"/>
      <c r="AA536" s="21"/>
      <c r="AB536" s="21"/>
      <c r="AC536" s="20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</row>
    <row r="537" spans="1:44" ht="15.6" x14ac:dyDescent="0.3">
      <c r="A537" s="19"/>
      <c r="B537" s="19"/>
      <c r="C537" s="20"/>
      <c r="D537" s="19"/>
      <c r="E537" s="20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20"/>
      <c r="Q537" s="19"/>
      <c r="R537" s="19"/>
      <c r="S537" s="19"/>
      <c r="T537" s="19"/>
      <c r="U537" s="19"/>
      <c r="V537" s="19"/>
      <c r="W537" s="20"/>
      <c r="X537" s="19"/>
      <c r="Y537" s="21"/>
      <c r="Z537" s="21"/>
      <c r="AA537" s="21"/>
      <c r="AB537" s="21"/>
      <c r="AC537" s="20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</row>
    <row r="538" spans="1:44" ht="15.6" x14ac:dyDescent="0.3">
      <c r="A538" s="19"/>
      <c r="B538" s="19"/>
      <c r="C538" s="20"/>
      <c r="D538" s="19"/>
      <c r="E538" s="20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20"/>
      <c r="Q538" s="19"/>
      <c r="R538" s="19"/>
      <c r="S538" s="19"/>
      <c r="T538" s="19"/>
      <c r="U538" s="19"/>
      <c r="V538" s="19"/>
      <c r="W538" s="20"/>
      <c r="X538" s="19"/>
      <c r="Y538" s="21"/>
      <c r="Z538" s="21"/>
      <c r="AA538" s="21"/>
      <c r="AB538" s="21"/>
      <c r="AC538" s="20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</row>
    <row r="539" spans="1:44" ht="15.6" x14ac:dyDescent="0.3">
      <c r="A539" s="19"/>
      <c r="B539" s="19"/>
      <c r="C539" s="20"/>
      <c r="D539" s="19"/>
      <c r="E539" s="20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20"/>
      <c r="Q539" s="19"/>
      <c r="R539" s="19"/>
      <c r="S539" s="19"/>
      <c r="T539" s="19"/>
      <c r="U539" s="19"/>
      <c r="V539" s="19"/>
      <c r="W539" s="20"/>
      <c r="X539" s="19"/>
      <c r="Y539" s="21"/>
      <c r="Z539" s="21"/>
      <c r="AA539" s="21"/>
      <c r="AB539" s="21"/>
      <c r="AC539" s="20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</row>
    <row r="540" spans="1:44" ht="15.6" x14ac:dyDescent="0.3">
      <c r="A540" s="19"/>
      <c r="B540" s="19"/>
      <c r="C540" s="20"/>
      <c r="D540" s="19"/>
      <c r="E540" s="20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20"/>
      <c r="Q540" s="19"/>
      <c r="R540" s="19"/>
      <c r="S540" s="19"/>
      <c r="T540" s="19"/>
      <c r="U540" s="19"/>
      <c r="V540" s="19"/>
      <c r="W540" s="20"/>
      <c r="X540" s="19"/>
      <c r="Y540" s="21"/>
      <c r="Z540" s="21"/>
      <c r="AA540" s="21"/>
      <c r="AB540" s="21"/>
      <c r="AC540" s="20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</row>
    <row r="541" spans="1:44" ht="15.6" x14ac:dyDescent="0.3">
      <c r="A541" s="19"/>
      <c r="B541" s="19"/>
      <c r="C541" s="20"/>
      <c r="D541" s="19"/>
      <c r="E541" s="20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20"/>
      <c r="Q541" s="19"/>
      <c r="R541" s="19"/>
      <c r="S541" s="19"/>
      <c r="T541" s="19"/>
      <c r="U541" s="19"/>
      <c r="V541" s="19"/>
      <c r="W541" s="20"/>
      <c r="X541" s="19"/>
      <c r="Y541" s="21"/>
      <c r="Z541" s="21"/>
      <c r="AA541" s="21"/>
      <c r="AB541" s="21"/>
      <c r="AC541" s="20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</row>
    <row r="542" spans="1:44" ht="15.6" x14ac:dyDescent="0.3">
      <c r="A542" s="19"/>
      <c r="B542" s="19"/>
      <c r="C542" s="20"/>
      <c r="D542" s="19"/>
      <c r="E542" s="20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20"/>
      <c r="Q542" s="19"/>
      <c r="R542" s="19"/>
      <c r="S542" s="19"/>
      <c r="T542" s="19"/>
      <c r="U542" s="19"/>
      <c r="V542" s="19"/>
      <c r="W542" s="20"/>
      <c r="X542" s="19"/>
      <c r="Y542" s="21"/>
      <c r="Z542" s="21"/>
      <c r="AA542" s="21"/>
      <c r="AB542" s="21"/>
      <c r="AC542" s="20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</row>
    <row r="543" spans="1:44" ht="15.6" x14ac:dyDescent="0.3">
      <c r="A543" s="19"/>
      <c r="B543" s="19"/>
      <c r="C543" s="20"/>
      <c r="D543" s="19"/>
      <c r="E543" s="20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20"/>
      <c r="Q543" s="19"/>
      <c r="R543" s="19"/>
      <c r="S543" s="19"/>
      <c r="T543" s="19"/>
      <c r="U543" s="19"/>
      <c r="V543" s="19"/>
      <c r="W543" s="20"/>
      <c r="X543" s="19"/>
      <c r="Y543" s="21"/>
      <c r="Z543" s="21"/>
      <c r="AA543" s="21"/>
      <c r="AB543" s="21"/>
      <c r="AC543" s="20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</row>
    <row r="544" spans="1:44" ht="15.6" x14ac:dyDescent="0.3">
      <c r="A544" s="19"/>
      <c r="B544" s="19"/>
      <c r="C544" s="20"/>
      <c r="D544" s="19"/>
      <c r="E544" s="20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20"/>
      <c r="Q544" s="19"/>
      <c r="R544" s="19"/>
      <c r="S544" s="19"/>
      <c r="T544" s="19"/>
      <c r="U544" s="19"/>
      <c r="V544" s="19"/>
      <c r="W544" s="20"/>
      <c r="X544" s="19"/>
      <c r="Y544" s="21"/>
      <c r="Z544" s="21"/>
      <c r="AA544" s="21"/>
      <c r="AB544" s="21"/>
      <c r="AC544" s="20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</row>
    <row r="545" spans="1:44" ht="15.6" x14ac:dyDescent="0.3">
      <c r="A545" s="19"/>
      <c r="B545" s="19"/>
      <c r="C545" s="20"/>
      <c r="D545" s="19"/>
      <c r="E545" s="20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20"/>
      <c r="Q545" s="19"/>
      <c r="R545" s="19"/>
      <c r="S545" s="19"/>
      <c r="T545" s="19"/>
      <c r="U545" s="19"/>
      <c r="V545" s="19"/>
      <c r="W545" s="20"/>
      <c r="X545" s="19"/>
      <c r="Y545" s="21"/>
      <c r="Z545" s="21"/>
      <c r="AA545" s="21"/>
      <c r="AB545" s="21"/>
      <c r="AC545" s="20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</row>
    <row r="546" spans="1:44" ht="15.6" x14ac:dyDescent="0.3">
      <c r="A546" s="19"/>
      <c r="B546" s="19"/>
      <c r="C546" s="20"/>
      <c r="D546" s="19"/>
      <c r="E546" s="20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20"/>
      <c r="Q546" s="19"/>
      <c r="R546" s="19"/>
      <c r="S546" s="19"/>
      <c r="T546" s="19"/>
      <c r="U546" s="19"/>
      <c r="V546" s="19"/>
      <c r="W546" s="20"/>
      <c r="X546" s="19"/>
      <c r="Y546" s="21"/>
      <c r="Z546" s="21"/>
      <c r="AA546" s="21"/>
      <c r="AB546" s="21"/>
      <c r="AC546" s="20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</row>
    <row r="547" spans="1:44" ht="15.6" x14ac:dyDescent="0.3">
      <c r="A547" s="19"/>
      <c r="B547" s="19"/>
      <c r="C547" s="20"/>
      <c r="D547" s="19"/>
      <c r="E547" s="20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20"/>
      <c r="Q547" s="19"/>
      <c r="R547" s="19"/>
      <c r="S547" s="19"/>
      <c r="T547" s="19"/>
      <c r="U547" s="19"/>
      <c r="V547" s="19"/>
      <c r="W547" s="20"/>
      <c r="X547" s="19"/>
      <c r="Y547" s="21"/>
      <c r="Z547" s="21"/>
      <c r="AA547" s="21"/>
      <c r="AB547" s="21"/>
      <c r="AC547" s="20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</row>
    <row r="548" spans="1:44" ht="15.6" x14ac:dyDescent="0.3">
      <c r="A548" s="19"/>
      <c r="B548" s="19"/>
      <c r="C548" s="20"/>
      <c r="D548" s="19"/>
      <c r="E548" s="20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20"/>
      <c r="Q548" s="19"/>
      <c r="R548" s="19"/>
      <c r="S548" s="19"/>
      <c r="T548" s="19"/>
      <c r="U548" s="19"/>
      <c r="V548" s="19"/>
      <c r="W548" s="20"/>
      <c r="X548" s="19"/>
      <c r="Y548" s="21"/>
      <c r="Z548" s="21"/>
      <c r="AA548" s="21"/>
      <c r="AB548" s="21"/>
      <c r="AC548" s="20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</row>
    <row r="549" spans="1:44" ht="15.6" x14ac:dyDescent="0.3">
      <c r="A549" s="19"/>
      <c r="B549" s="19"/>
      <c r="C549" s="20"/>
      <c r="D549" s="19"/>
      <c r="E549" s="20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20"/>
      <c r="Q549" s="19"/>
      <c r="R549" s="19"/>
      <c r="S549" s="19"/>
      <c r="T549" s="19"/>
      <c r="U549" s="19"/>
      <c r="V549" s="19"/>
      <c r="W549" s="20"/>
      <c r="X549" s="19"/>
      <c r="Y549" s="21"/>
      <c r="Z549" s="21"/>
      <c r="AA549" s="21"/>
      <c r="AB549" s="21"/>
      <c r="AC549" s="20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</row>
    <row r="550" spans="1:44" ht="15.6" x14ac:dyDescent="0.3">
      <c r="A550" s="19"/>
      <c r="B550" s="19"/>
      <c r="C550" s="20"/>
      <c r="D550" s="19"/>
      <c r="E550" s="20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20"/>
      <c r="Q550" s="19"/>
      <c r="R550" s="19"/>
      <c r="S550" s="19"/>
      <c r="T550" s="19"/>
      <c r="U550" s="19"/>
      <c r="V550" s="19"/>
      <c r="W550" s="20"/>
      <c r="X550" s="19"/>
      <c r="Y550" s="21"/>
      <c r="Z550" s="21"/>
      <c r="AA550" s="21"/>
      <c r="AB550" s="21"/>
      <c r="AC550" s="20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</row>
    <row r="551" spans="1:44" ht="15.6" x14ac:dyDescent="0.3">
      <c r="A551" s="19"/>
      <c r="B551" s="19"/>
      <c r="C551" s="20"/>
      <c r="D551" s="19"/>
      <c r="E551" s="20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20"/>
      <c r="Q551" s="19"/>
      <c r="R551" s="19"/>
      <c r="S551" s="19"/>
      <c r="T551" s="19"/>
      <c r="U551" s="19"/>
      <c r="V551" s="19"/>
      <c r="W551" s="20"/>
      <c r="X551" s="19"/>
      <c r="Y551" s="21"/>
      <c r="Z551" s="21"/>
      <c r="AA551" s="21"/>
      <c r="AB551" s="21"/>
      <c r="AC551" s="20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</row>
    <row r="552" spans="1:44" ht="15.6" x14ac:dyDescent="0.3">
      <c r="A552" s="19"/>
      <c r="B552" s="19"/>
      <c r="C552" s="20"/>
      <c r="D552" s="19"/>
      <c r="E552" s="20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20"/>
      <c r="Q552" s="19"/>
      <c r="R552" s="19"/>
      <c r="S552" s="19"/>
      <c r="T552" s="19"/>
      <c r="U552" s="19"/>
      <c r="V552" s="19"/>
      <c r="W552" s="20"/>
      <c r="X552" s="19"/>
      <c r="Y552" s="21"/>
      <c r="Z552" s="21"/>
      <c r="AA552" s="21"/>
      <c r="AB552" s="21"/>
      <c r="AC552" s="20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</row>
    <row r="553" spans="1:44" ht="15.6" x14ac:dyDescent="0.3">
      <c r="A553" s="19"/>
      <c r="B553" s="19"/>
      <c r="C553" s="20"/>
      <c r="D553" s="19"/>
      <c r="E553" s="20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20"/>
      <c r="Q553" s="19"/>
      <c r="R553" s="19"/>
      <c r="S553" s="19"/>
      <c r="T553" s="19"/>
      <c r="U553" s="19"/>
      <c r="V553" s="19"/>
      <c r="W553" s="20"/>
      <c r="X553" s="19"/>
      <c r="Y553" s="21"/>
      <c r="Z553" s="21"/>
      <c r="AA553" s="21"/>
      <c r="AB553" s="21"/>
      <c r="AC553" s="20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</row>
    <row r="554" spans="1:44" ht="15.6" x14ac:dyDescent="0.3">
      <c r="A554" s="19"/>
      <c r="B554" s="19"/>
      <c r="C554" s="20"/>
      <c r="D554" s="19"/>
      <c r="E554" s="20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20"/>
      <c r="Q554" s="19"/>
      <c r="R554" s="19"/>
      <c r="S554" s="19"/>
      <c r="T554" s="19"/>
      <c r="U554" s="19"/>
      <c r="V554" s="19"/>
      <c r="W554" s="20"/>
      <c r="X554" s="19"/>
      <c r="Y554" s="21"/>
      <c r="Z554" s="21"/>
      <c r="AA554" s="21"/>
      <c r="AB554" s="21"/>
      <c r="AC554" s="20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</row>
    <row r="555" spans="1:44" ht="15.6" x14ac:dyDescent="0.3">
      <c r="A555" s="19"/>
      <c r="B555" s="19"/>
      <c r="C555" s="20"/>
      <c r="D555" s="19"/>
      <c r="E555" s="20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20"/>
      <c r="Q555" s="19"/>
      <c r="R555" s="19"/>
      <c r="S555" s="19"/>
      <c r="T555" s="19"/>
      <c r="U555" s="19"/>
      <c r="V555" s="19"/>
      <c r="W555" s="20"/>
      <c r="X555" s="19"/>
      <c r="Y555" s="21"/>
      <c r="Z555" s="21"/>
      <c r="AA555" s="21"/>
      <c r="AB555" s="21"/>
      <c r="AC555" s="20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</row>
    <row r="556" spans="1:44" ht="15.6" x14ac:dyDescent="0.3">
      <c r="A556" s="19"/>
      <c r="B556" s="19"/>
      <c r="C556" s="20"/>
      <c r="D556" s="19"/>
      <c r="E556" s="20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20"/>
      <c r="Q556" s="19"/>
      <c r="R556" s="19"/>
      <c r="S556" s="19"/>
      <c r="T556" s="19"/>
      <c r="U556" s="19"/>
      <c r="V556" s="19"/>
      <c r="W556" s="20"/>
      <c r="X556" s="19"/>
      <c r="Y556" s="21"/>
      <c r="Z556" s="21"/>
      <c r="AA556" s="21"/>
      <c r="AB556" s="21"/>
      <c r="AC556" s="20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</row>
    <row r="557" spans="1:44" ht="15.6" x14ac:dyDescent="0.3">
      <c r="A557" s="19"/>
      <c r="B557" s="19"/>
      <c r="C557" s="20"/>
      <c r="D557" s="19"/>
      <c r="E557" s="20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20"/>
      <c r="Q557" s="19"/>
      <c r="R557" s="19"/>
      <c r="S557" s="19"/>
      <c r="T557" s="19"/>
      <c r="U557" s="19"/>
      <c r="V557" s="19"/>
      <c r="W557" s="20"/>
      <c r="X557" s="19"/>
      <c r="Y557" s="21"/>
      <c r="Z557" s="21"/>
      <c r="AA557" s="21"/>
      <c r="AB557" s="21"/>
      <c r="AC557" s="20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</row>
    <row r="558" spans="1:44" ht="15.6" x14ac:dyDescent="0.3">
      <c r="A558" s="19"/>
      <c r="B558" s="19"/>
      <c r="C558" s="20"/>
      <c r="D558" s="19"/>
      <c r="E558" s="20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20"/>
      <c r="Q558" s="19"/>
      <c r="R558" s="19"/>
      <c r="S558" s="19"/>
      <c r="T558" s="19"/>
      <c r="U558" s="19"/>
      <c r="V558" s="19"/>
      <c r="W558" s="20"/>
      <c r="X558" s="19"/>
      <c r="Y558" s="21"/>
      <c r="Z558" s="21"/>
      <c r="AA558" s="21"/>
      <c r="AB558" s="21"/>
      <c r="AC558" s="20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</row>
    <row r="559" spans="1:44" ht="15.6" x14ac:dyDescent="0.3">
      <c r="A559" s="19"/>
      <c r="B559" s="19"/>
      <c r="C559" s="20"/>
      <c r="D559" s="19"/>
      <c r="E559" s="20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20"/>
      <c r="Q559" s="19"/>
      <c r="R559" s="19"/>
      <c r="S559" s="19"/>
      <c r="T559" s="19"/>
      <c r="U559" s="19"/>
      <c r="V559" s="19"/>
      <c r="W559" s="20"/>
      <c r="X559" s="19"/>
      <c r="Y559" s="21"/>
      <c r="Z559" s="21"/>
      <c r="AA559" s="21"/>
      <c r="AB559" s="21"/>
      <c r="AC559" s="20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</row>
    <row r="560" spans="1:44" ht="15.6" x14ac:dyDescent="0.3">
      <c r="A560" s="19"/>
      <c r="B560" s="19"/>
      <c r="C560" s="20"/>
      <c r="D560" s="19"/>
      <c r="E560" s="20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20"/>
      <c r="Q560" s="19"/>
      <c r="R560" s="19"/>
      <c r="S560" s="19"/>
      <c r="T560" s="19"/>
      <c r="U560" s="19"/>
      <c r="V560" s="19"/>
      <c r="W560" s="20"/>
      <c r="X560" s="19"/>
      <c r="Y560" s="21"/>
      <c r="Z560" s="21"/>
      <c r="AA560" s="21"/>
      <c r="AB560" s="21"/>
      <c r="AC560" s="20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</row>
    <row r="561" spans="1:44" ht="15.6" x14ac:dyDescent="0.3">
      <c r="A561" s="19"/>
      <c r="B561" s="19"/>
      <c r="C561" s="20"/>
      <c r="D561" s="19"/>
      <c r="E561" s="20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20"/>
      <c r="Q561" s="19"/>
      <c r="R561" s="19"/>
      <c r="S561" s="19"/>
      <c r="T561" s="19"/>
      <c r="U561" s="19"/>
      <c r="V561" s="19"/>
      <c r="W561" s="20"/>
      <c r="X561" s="19"/>
      <c r="Y561" s="21"/>
      <c r="Z561" s="21"/>
      <c r="AA561" s="21"/>
      <c r="AB561" s="21"/>
      <c r="AC561" s="20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</row>
    <row r="562" spans="1:44" ht="15.6" x14ac:dyDescent="0.3">
      <c r="A562" s="19"/>
      <c r="B562" s="19"/>
      <c r="C562" s="20"/>
      <c r="D562" s="19"/>
      <c r="E562" s="20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20"/>
      <c r="Q562" s="19"/>
      <c r="R562" s="19"/>
      <c r="S562" s="19"/>
      <c r="T562" s="19"/>
      <c r="U562" s="19"/>
      <c r="V562" s="19"/>
      <c r="W562" s="20"/>
      <c r="X562" s="19"/>
      <c r="Y562" s="21"/>
      <c r="Z562" s="21"/>
      <c r="AA562" s="21"/>
      <c r="AB562" s="21"/>
      <c r="AC562" s="20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</row>
    <row r="563" spans="1:44" ht="15.6" x14ac:dyDescent="0.3">
      <c r="A563" s="19"/>
      <c r="B563" s="19"/>
      <c r="C563" s="20"/>
      <c r="D563" s="19"/>
      <c r="E563" s="20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20"/>
      <c r="Q563" s="19"/>
      <c r="R563" s="19"/>
      <c r="S563" s="19"/>
      <c r="T563" s="19"/>
      <c r="U563" s="19"/>
      <c r="V563" s="19"/>
      <c r="W563" s="20"/>
      <c r="X563" s="19"/>
      <c r="Y563" s="21"/>
      <c r="Z563" s="21"/>
      <c r="AA563" s="21"/>
      <c r="AB563" s="21"/>
      <c r="AC563" s="20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</row>
    <row r="564" spans="1:44" ht="15.6" x14ac:dyDescent="0.3">
      <c r="A564" s="19"/>
      <c r="B564" s="19"/>
      <c r="C564" s="20"/>
      <c r="D564" s="19"/>
      <c r="E564" s="20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20"/>
      <c r="Q564" s="19"/>
      <c r="R564" s="19"/>
      <c r="S564" s="19"/>
      <c r="T564" s="19"/>
      <c r="U564" s="19"/>
      <c r="V564" s="19"/>
      <c r="W564" s="20"/>
      <c r="X564" s="19"/>
      <c r="Y564" s="21"/>
      <c r="Z564" s="21"/>
      <c r="AA564" s="21"/>
      <c r="AB564" s="21"/>
      <c r="AC564" s="20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</row>
    <row r="565" spans="1:44" ht="15.6" x14ac:dyDescent="0.3">
      <c r="A565" s="19"/>
      <c r="B565" s="19"/>
      <c r="C565" s="20"/>
      <c r="D565" s="19"/>
      <c r="E565" s="20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20"/>
      <c r="Q565" s="19"/>
      <c r="R565" s="19"/>
      <c r="S565" s="19"/>
      <c r="T565" s="19"/>
      <c r="U565" s="19"/>
      <c r="V565" s="19"/>
      <c r="W565" s="20"/>
      <c r="X565" s="19"/>
      <c r="Y565" s="21"/>
      <c r="Z565" s="21"/>
      <c r="AA565" s="21"/>
      <c r="AB565" s="21"/>
      <c r="AC565" s="20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</row>
    <row r="566" spans="1:44" ht="15.6" x14ac:dyDescent="0.3">
      <c r="A566" s="19"/>
      <c r="B566" s="19"/>
      <c r="C566" s="20"/>
      <c r="D566" s="19"/>
      <c r="E566" s="20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20"/>
      <c r="Q566" s="19"/>
      <c r="R566" s="19"/>
      <c r="S566" s="19"/>
      <c r="T566" s="19"/>
      <c r="U566" s="19"/>
      <c r="V566" s="19"/>
      <c r="W566" s="20"/>
      <c r="X566" s="19"/>
      <c r="Y566" s="21"/>
      <c r="Z566" s="21"/>
      <c r="AA566" s="21"/>
      <c r="AB566" s="21"/>
      <c r="AC566" s="20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</row>
    <row r="567" spans="1:44" ht="15.6" x14ac:dyDescent="0.3">
      <c r="A567" s="19"/>
      <c r="B567" s="19"/>
      <c r="C567" s="20"/>
      <c r="D567" s="19"/>
      <c r="E567" s="20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20"/>
      <c r="Q567" s="19"/>
      <c r="R567" s="19"/>
      <c r="S567" s="19"/>
      <c r="T567" s="19"/>
      <c r="U567" s="19"/>
      <c r="V567" s="19"/>
      <c r="W567" s="20"/>
      <c r="X567" s="19"/>
      <c r="Y567" s="21"/>
      <c r="Z567" s="21"/>
      <c r="AA567" s="21"/>
      <c r="AB567" s="21"/>
      <c r="AC567" s="20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</row>
    <row r="568" spans="1:44" ht="15.6" x14ac:dyDescent="0.3">
      <c r="A568" s="19"/>
      <c r="B568" s="19"/>
      <c r="C568" s="20"/>
      <c r="D568" s="19"/>
      <c r="E568" s="20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20"/>
      <c r="Q568" s="19"/>
      <c r="R568" s="19"/>
      <c r="S568" s="19"/>
      <c r="T568" s="19"/>
      <c r="U568" s="19"/>
      <c r="V568" s="19"/>
      <c r="W568" s="20"/>
      <c r="X568" s="19"/>
      <c r="Y568" s="21"/>
      <c r="Z568" s="21"/>
      <c r="AA568" s="21"/>
      <c r="AB568" s="21"/>
      <c r="AC568" s="20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</row>
    <row r="569" spans="1:44" ht="15.6" x14ac:dyDescent="0.3">
      <c r="A569" s="19"/>
      <c r="B569" s="19"/>
      <c r="C569" s="20"/>
      <c r="D569" s="19"/>
      <c r="E569" s="20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20"/>
      <c r="Q569" s="19"/>
      <c r="R569" s="19"/>
      <c r="S569" s="19"/>
      <c r="T569" s="19"/>
      <c r="U569" s="19"/>
      <c r="V569" s="19"/>
      <c r="W569" s="20"/>
      <c r="X569" s="19"/>
      <c r="Y569" s="21"/>
      <c r="Z569" s="21"/>
      <c r="AA569" s="21"/>
      <c r="AB569" s="21"/>
      <c r="AC569" s="20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</row>
    <row r="570" spans="1:44" ht="15.6" x14ac:dyDescent="0.3">
      <c r="A570" s="19"/>
      <c r="B570" s="19"/>
      <c r="C570" s="20"/>
      <c r="D570" s="19"/>
      <c r="E570" s="20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20"/>
      <c r="Q570" s="19"/>
      <c r="R570" s="19"/>
      <c r="S570" s="19"/>
      <c r="T570" s="19"/>
      <c r="U570" s="19"/>
      <c r="V570" s="19"/>
      <c r="W570" s="20"/>
      <c r="X570" s="19"/>
      <c r="Y570" s="21"/>
      <c r="Z570" s="21"/>
      <c r="AA570" s="21"/>
      <c r="AB570" s="21"/>
      <c r="AC570" s="20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</row>
    <row r="571" spans="1:44" ht="15.6" x14ac:dyDescent="0.3">
      <c r="A571" s="19"/>
      <c r="B571" s="19"/>
      <c r="C571" s="20"/>
      <c r="D571" s="19"/>
      <c r="E571" s="20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20"/>
      <c r="Q571" s="19"/>
      <c r="R571" s="19"/>
      <c r="S571" s="19"/>
      <c r="T571" s="19"/>
      <c r="U571" s="19"/>
      <c r="V571" s="19"/>
      <c r="W571" s="20"/>
      <c r="X571" s="19"/>
      <c r="Y571" s="21"/>
      <c r="Z571" s="21"/>
      <c r="AA571" s="21"/>
      <c r="AB571" s="21"/>
      <c r="AC571" s="20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</row>
    <row r="572" spans="1:44" ht="15.6" x14ac:dyDescent="0.3">
      <c r="A572" s="19"/>
      <c r="B572" s="19"/>
      <c r="C572" s="20"/>
      <c r="D572" s="19"/>
      <c r="E572" s="20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20"/>
      <c r="Q572" s="19"/>
      <c r="R572" s="19"/>
      <c r="S572" s="19"/>
      <c r="T572" s="19"/>
      <c r="U572" s="19"/>
      <c r="V572" s="19"/>
      <c r="W572" s="20"/>
      <c r="X572" s="19"/>
      <c r="Y572" s="21"/>
      <c r="Z572" s="21"/>
      <c r="AA572" s="21"/>
      <c r="AB572" s="21"/>
      <c r="AC572" s="20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</row>
    <row r="573" spans="1:44" ht="15.6" x14ac:dyDescent="0.3">
      <c r="A573" s="19"/>
      <c r="B573" s="19"/>
      <c r="C573" s="20"/>
      <c r="D573" s="19"/>
      <c r="E573" s="20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20"/>
      <c r="Q573" s="19"/>
      <c r="R573" s="19"/>
      <c r="S573" s="19"/>
      <c r="T573" s="19"/>
      <c r="U573" s="19"/>
      <c r="V573" s="19"/>
      <c r="W573" s="20"/>
      <c r="X573" s="19"/>
      <c r="Y573" s="21"/>
      <c r="Z573" s="21"/>
      <c r="AA573" s="21"/>
      <c r="AB573" s="21"/>
      <c r="AC573" s="20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</row>
    <row r="574" spans="1:44" ht="15.6" x14ac:dyDescent="0.3">
      <c r="A574" s="19"/>
      <c r="B574" s="19"/>
      <c r="C574" s="20"/>
      <c r="D574" s="19"/>
      <c r="E574" s="20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20"/>
      <c r="Q574" s="19"/>
      <c r="R574" s="19"/>
      <c r="S574" s="19"/>
      <c r="T574" s="19"/>
      <c r="U574" s="19"/>
      <c r="V574" s="19"/>
      <c r="W574" s="20"/>
      <c r="X574" s="19"/>
      <c r="Y574" s="21"/>
      <c r="Z574" s="21"/>
      <c r="AA574" s="21"/>
      <c r="AB574" s="21"/>
      <c r="AC574" s="20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</row>
    <row r="575" spans="1:44" ht="15.6" x14ac:dyDescent="0.3">
      <c r="A575" s="19"/>
      <c r="B575" s="19"/>
      <c r="C575" s="20"/>
      <c r="D575" s="19"/>
      <c r="E575" s="20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20"/>
      <c r="Q575" s="19"/>
      <c r="R575" s="19"/>
      <c r="S575" s="19"/>
      <c r="T575" s="19"/>
      <c r="U575" s="19"/>
      <c r="V575" s="19"/>
      <c r="W575" s="20"/>
      <c r="X575" s="19"/>
      <c r="Y575" s="21"/>
      <c r="Z575" s="21"/>
      <c r="AA575" s="21"/>
      <c r="AB575" s="21"/>
      <c r="AC575" s="20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</row>
    <row r="576" spans="1:44" ht="15.6" x14ac:dyDescent="0.3">
      <c r="A576" s="19"/>
      <c r="B576" s="19"/>
      <c r="C576" s="20"/>
      <c r="D576" s="19"/>
      <c r="E576" s="20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20"/>
      <c r="Q576" s="19"/>
      <c r="R576" s="19"/>
      <c r="S576" s="19"/>
      <c r="T576" s="19"/>
      <c r="U576" s="19"/>
      <c r="V576" s="19"/>
      <c r="W576" s="20"/>
      <c r="X576" s="19"/>
      <c r="Y576" s="21"/>
      <c r="Z576" s="21"/>
      <c r="AA576" s="21"/>
      <c r="AB576" s="21"/>
      <c r="AC576" s="20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</row>
    <row r="577" spans="1:44" ht="15.6" x14ac:dyDescent="0.3">
      <c r="A577" s="19"/>
      <c r="B577" s="19"/>
      <c r="C577" s="20"/>
      <c r="D577" s="19"/>
      <c r="E577" s="20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20"/>
      <c r="Q577" s="19"/>
      <c r="R577" s="19"/>
      <c r="S577" s="19"/>
      <c r="T577" s="19"/>
      <c r="U577" s="19"/>
      <c r="V577" s="19"/>
      <c r="W577" s="20"/>
      <c r="X577" s="19"/>
      <c r="Y577" s="21"/>
      <c r="Z577" s="21"/>
      <c r="AA577" s="21"/>
      <c r="AB577" s="21"/>
      <c r="AC577" s="20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</row>
    <row r="578" spans="1:44" ht="15.6" x14ac:dyDescent="0.3">
      <c r="A578" s="19"/>
      <c r="B578" s="19"/>
      <c r="C578" s="20"/>
      <c r="D578" s="19"/>
      <c r="E578" s="20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20"/>
      <c r="Q578" s="19"/>
      <c r="R578" s="19"/>
      <c r="S578" s="19"/>
      <c r="T578" s="19"/>
      <c r="U578" s="19"/>
      <c r="V578" s="19"/>
      <c r="W578" s="20"/>
      <c r="X578" s="19"/>
      <c r="Y578" s="21"/>
      <c r="Z578" s="21"/>
      <c r="AA578" s="21"/>
      <c r="AB578" s="21"/>
      <c r="AC578" s="20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</row>
    <row r="579" spans="1:44" ht="15.6" x14ac:dyDescent="0.3">
      <c r="A579" s="19"/>
      <c r="B579" s="19"/>
      <c r="C579" s="20"/>
      <c r="D579" s="19"/>
      <c r="E579" s="20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20"/>
      <c r="Q579" s="19"/>
      <c r="R579" s="19"/>
      <c r="S579" s="19"/>
      <c r="T579" s="19"/>
      <c r="U579" s="19"/>
      <c r="V579" s="19"/>
      <c r="W579" s="20"/>
      <c r="X579" s="19"/>
      <c r="Y579" s="21"/>
      <c r="Z579" s="21"/>
      <c r="AA579" s="21"/>
      <c r="AB579" s="21"/>
      <c r="AC579" s="20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</row>
    <row r="580" spans="1:44" ht="15.6" x14ac:dyDescent="0.3">
      <c r="A580" s="19"/>
      <c r="B580" s="19"/>
      <c r="C580" s="20"/>
      <c r="D580" s="19"/>
      <c r="E580" s="20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20"/>
      <c r="Q580" s="19"/>
      <c r="R580" s="19"/>
      <c r="S580" s="19"/>
      <c r="T580" s="19"/>
      <c r="U580" s="19"/>
      <c r="V580" s="19"/>
      <c r="W580" s="20"/>
      <c r="X580" s="19"/>
      <c r="Y580" s="21"/>
      <c r="Z580" s="21"/>
      <c r="AA580" s="21"/>
      <c r="AB580" s="21"/>
      <c r="AC580" s="20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</row>
    <row r="581" spans="1:44" ht="15.6" x14ac:dyDescent="0.3">
      <c r="A581" s="19"/>
      <c r="B581" s="19"/>
      <c r="C581" s="20"/>
      <c r="D581" s="19"/>
      <c r="E581" s="20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20"/>
      <c r="Q581" s="19"/>
      <c r="R581" s="19"/>
      <c r="S581" s="19"/>
      <c r="T581" s="19"/>
      <c r="U581" s="19"/>
      <c r="V581" s="19"/>
      <c r="W581" s="20"/>
      <c r="X581" s="19"/>
      <c r="Y581" s="21"/>
      <c r="Z581" s="21"/>
      <c r="AA581" s="21"/>
      <c r="AB581" s="21"/>
      <c r="AC581" s="20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</row>
    <row r="582" spans="1:44" ht="15.6" x14ac:dyDescent="0.3">
      <c r="A582" s="19"/>
      <c r="B582" s="19"/>
      <c r="C582" s="20"/>
      <c r="D582" s="19"/>
      <c r="E582" s="20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20"/>
      <c r="Q582" s="19"/>
      <c r="R582" s="19"/>
      <c r="S582" s="19"/>
      <c r="T582" s="19"/>
      <c r="U582" s="19"/>
      <c r="V582" s="19"/>
      <c r="W582" s="20"/>
      <c r="X582" s="19"/>
      <c r="Y582" s="21"/>
      <c r="Z582" s="21"/>
      <c r="AA582" s="21"/>
      <c r="AB582" s="21"/>
      <c r="AC582" s="20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</row>
    <row r="583" spans="1:44" ht="15.6" x14ac:dyDescent="0.3">
      <c r="A583" s="19"/>
      <c r="B583" s="19"/>
      <c r="C583" s="20"/>
      <c r="D583" s="19"/>
      <c r="E583" s="20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20"/>
      <c r="Q583" s="19"/>
      <c r="R583" s="19"/>
      <c r="S583" s="19"/>
      <c r="T583" s="19"/>
      <c r="U583" s="19"/>
      <c r="V583" s="19"/>
      <c r="W583" s="20"/>
      <c r="X583" s="19"/>
      <c r="Y583" s="21"/>
      <c r="Z583" s="21"/>
      <c r="AA583" s="21"/>
      <c r="AB583" s="21"/>
      <c r="AC583" s="20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</row>
    <row r="584" spans="1:44" ht="15.6" x14ac:dyDescent="0.3">
      <c r="A584" s="19"/>
      <c r="B584" s="19"/>
      <c r="C584" s="20"/>
      <c r="D584" s="19"/>
      <c r="E584" s="20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20"/>
      <c r="Q584" s="19"/>
      <c r="R584" s="19"/>
      <c r="S584" s="19"/>
      <c r="T584" s="19"/>
      <c r="U584" s="19"/>
      <c r="V584" s="19"/>
      <c r="W584" s="20"/>
      <c r="X584" s="19"/>
      <c r="Y584" s="21"/>
      <c r="Z584" s="21"/>
      <c r="AA584" s="21"/>
      <c r="AB584" s="21"/>
      <c r="AC584" s="20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</row>
    <row r="585" spans="1:44" ht="15.6" x14ac:dyDescent="0.3">
      <c r="A585" s="19"/>
      <c r="B585" s="19"/>
      <c r="C585" s="20"/>
      <c r="D585" s="19"/>
      <c r="E585" s="20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20"/>
      <c r="Q585" s="19"/>
      <c r="R585" s="19"/>
      <c r="S585" s="19"/>
      <c r="T585" s="19"/>
      <c r="U585" s="19"/>
      <c r="V585" s="19"/>
      <c r="W585" s="20"/>
      <c r="X585" s="19"/>
      <c r="Y585" s="21"/>
      <c r="Z585" s="21"/>
      <c r="AA585" s="21"/>
      <c r="AB585" s="21"/>
      <c r="AC585" s="20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</row>
    <row r="586" spans="1:44" ht="15.6" x14ac:dyDescent="0.3">
      <c r="A586" s="19"/>
      <c r="B586" s="19"/>
      <c r="C586" s="20"/>
      <c r="D586" s="19"/>
      <c r="E586" s="20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20"/>
      <c r="Q586" s="19"/>
      <c r="R586" s="19"/>
      <c r="S586" s="19"/>
      <c r="T586" s="19"/>
      <c r="U586" s="19"/>
      <c r="V586" s="19"/>
      <c r="W586" s="20"/>
      <c r="X586" s="19"/>
      <c r="Y586" s="21"/>
      <c r="Z586" s="21"/>
      <c r="AA586" s="21"/>
      <c r="AB586" s="21"/>
      <c r="AC586" s="20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</row>
    <row r="587" spans="1:44" ht="15.6" x14ac:dyDescent="0.3">
      <c r="A587" s="19"/>
      <c r="B587" s="19"/>
      <c r="C587" s="20"/>
      <c r="D587" s="19"/>
      <c r="E587" s="20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20"/>
      <c r="Q587" s="19"/>
      <c r="R587" s="19"/>
      <c r="S587" s="19"/>
      <c r="T587" s="19"/>
      <c r="U587" s="19"/>
      <c r="V587" s="19"/>
      <c r="W587" s="20"/>
      <c r="X587" s="19"/>
      <c r="Y587" s="21"/>
      <c r="Z587" s="21"/>
      <c r="AA587" s="21"/>
      <c r="AB587" s="21"/>
      <c r="AC587" s="20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</row>
    <row r="588" spans="1:44" ht="15.6" x14ac:dyDescent="0.3">
      <c r="A588" s="19"/>
      <c r="B588" s="19"/>
      <c r="C588" s="20"/>
      <c r="D588" s="19"/>
      <c r="E588" s="20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20"/>
      <c r="Q588" s="19"/>
      <c r="R588" s="19"/>
      <c r="S588" s="19"/>
      <c r="T588" s="19"/>
      <c r="U588" s="19"/>
      <c r="V588" s="19"/>
      <c r="W588" s="20"/>
      <c r="X588" s="19"/>
      <c r="Y588" s="21"/>
      <c r="Z588" s="21"/>
      <c r="AA588" s="21"/>
      <c r="AB588" s="21"/>
      <c r="AC588" s="20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</row>
    <row r="589" spans="1:44" ht="15.6" x14ac:dyDescent="0.3">
      <c r="A589" s="19"/>
      <c r="B589" s="19"/>
      <c r="C589" s="20"/>
      <c r="D589" s="19"/>
      <c r="E589" s="20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20"/>
      <c r="Q589" s="19"/>
      <c r="R589" s="19"/>
      <c r="S589" s="19"/>
      <c r="T589" s="19"/>
      <c r="U589" s="19"/>
      <c r="V589" s="19"/>
      <c r="W589" s="20"/>
      <c r="X589" s="19"/>
      <c r="Y589" s="21"/>
      <c r="Z589" s="21"/>
      <c r="AA589" s="21"/>
      <c r="AB589" s="21"/>
      <c r="AC589" s="20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</row>
    <row r="590" spans="1:44" ht="15.6" x14ac:dyDescent="0.3">
      <c r="A590" s="19"/>
      <c r="B590" s="19"/>
      <c r="C590" s="20"/>
      <c r="D590" s="19"/>
      <c r="E590" s="20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20"/>
      <c r="Q590" s="19"/>
      <c r="R590" s="19"/>
      <c r="S590" s="19"/>
      <c r="T590" s="19"/>
      <c r="U590" s="19"/>
      <c r="V590" s="19"/>
      <c r="W590" s="20"/>
      <c r="X590" s="19"/>
      <c r="Y590" s="21"/>
      <c r="Z590" s="21"/>
      <c r="AA590" s="21"/>
      <c r="AB590" s="21"/>
      <c r="AC590" s="20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</row>
    <row r="591" spans="1:44" ht="15.6" x14ac:dyDescent="0.3">
      <c r="A591" s="19"/>
      <c r="B591" s="19"/>
      <c r="C591" s="20"/>
      <c r="D591" s="19"/>
      <c r="E591" s="20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20"/>
      <c r="Q591" s="19"/>
      <c r="R591" s="19"/>
      <c r="S591" s="19"/>
      <c r="T591" s="19"/>
      <c r="U591" s="19"/>
      <c r="V591" s="19"/>
      <c r="W591" s="20"/>
      <c r="X591" s="19"/>
      <c r="Y591" s="21"/>
      <c r="Z591" s="21"/>
      <c r="AA591" s="21"/>
      <c r="AB591" s="21"/>
      <c r="AC591" s="20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</row>
    <row r="592" spans="1:44" ht="15.6" x14ac:dyDescent="0.3">
      <c r="A592" s="19"/>
      <c r="B592" s="19"/>
      <c r="C592" s="20"/>
      <c r="D592" s="19"/>
      <c r="E592" s="20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20"/>
      <c r="Q592" s="19"/>
      <c r="R592" s="19"/>
      <c r="S592" s="19"/>
      <c r="T592" s="19"/>
      <c r="U592" s="19"/>
      <c r="V592" s="19"/>
      <c r="W592" s="20"/>
      <c r="X592" s="19"/>
      <c r="Y592" s="21"/>
      <c r="Z592" s="21"/>
      <c r="AA592" s="21"/>
      <c r="AB592" s="21"/>
      <c r="AC592" s="20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</row>
    <row r="593" spans="1:44" ht="15.6" x14ac:dyDescent="0.3">
      <c r="A593" s="19"/>
      <c r="B593" s="19"/>
      <c r="C593" s="20"/>
      <c r="D593" s="19"/>
      <c r="E593" s="20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20"/>
      <c r="Q593" s="19"/>
      <c r="R593" s="19"/>
      <c r="S593" s="19"/>
      <c r="T593" s="19"/>
      <c r="U593" s="19"/>
      <c r="V593" s="19"/>
      <c r="W593" s="20"/>
      <c r="X593" s="19"/>
      <c r="Y593" s="21"/>
      <c r="Z593" s="21"/>
      <c r="AA593" s="21"/>
      <c r="AB593" s="21"/>
      <c r="AC593" s="20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</row>
    <row r="594" spans="1:44" ht="15.6" x14ac:dyDescent="0.3">
      <c r="A594" s="19"/>
      <c r="B594" s="19"/>
      <c r="C594" s="20"/>
      <c r="D594" s="19"/>
      <c r="E594" s="20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20"/>
      <c r="Q594" s="19"/>
      <c r="R594" s="19"/>
      <c r="S594" s="19"/>
      <c r="T594" s="19"/>
      <c r="U594" s="19"/>
      <c r="V594" s="19"/>
      <c r="W594" s="20"/>
      <c r="X594" s="19"/>
      <c r="Y594" s="21"/>
      <c r="Z594" s="21"/>
      <c r="AA594" s="21"/>
      <c r="AB594" s="21"/>
      <c r="AC594" s="20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</row>
    <row r="595" spans="1:44" ht="15.6" x14ac:dyDescent="0.3">
      <c r="A595" s="19"/>
      <c r="B595" s="19"/>
      <c r="C595" s="20"/>
      <c r="D595" s="19"/>
      <c r="E595" s="20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20"/>
      <c r="Q595" s="19"/>
      <c r="R595" s="19"/>
      <c r="S595" s="19"/>
      <c r="T595" s="19"/>
      <c r="U595" s="19"/>
      <c r="V595" s="19"/>
      <c r="W595" s="20"/>
      <c r="X595" s="19"/>
      <c r="Y595" s="21"/>
      <c r="Z595" s="21"/>
      <c r="AA595" s="21"/>
      <c r="AB595" s="21"/>
      <c r="AC595" s="20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</row>
    <row r="596" spans="1:44" ht="15.6" x14ac:dyDescent="0.3">
      <c r="A596" s="19"/>
      <c r="B596" s="19"/>
      <c r="C596" s="20"/>
      <c r="D596" s="19"/>
      <c r="E596" s="20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20"/>
      <c r="Q596" s="19"/>
      <c r="R596" s="19"/>
      <c r="S596" s="19"/>
      <c r="T596" s="19"/>
      <c r="U596" s="19"/>
      <c r="V596" s="19"/>
      <c r="W596" s="20"/>
      <c r="X596" s="19"/>
      <c r="Y596" s="21"/>
      <c r="Z596" s="21"/>
      <c r="AA596" s="21"/>
      <c r="AB596" s="21"/>
      <c r="AC596" s="20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</row>
    <row r="597" spans="1:44" ht="15.6" x14ac:dyDescent="0.3">
      <c r="A597" s="19"/>
      <c r="B597" s="19"/>
      <c r="C597" s="20"/>
      <c r="D597" s="19"/>
      <c r="E597" s="20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20"/>
      <c r="Q597" s="19"/>
      <c r="R597" s="19"/>
      <c r="S597" s="19"/>
      <c r="T597" s="19"/>
      <c r="U597" s="19"/>
      <c r="V597" s="19"/>
      <c r="W597" s="20"/>
      <c r="X597" s="19"/>
      <c r="Y597" s="21"/>
      <c r="Z597" s="21"/>
      <c r="AA597" s="21"/>
      <c r="AB597" s="21"/>
      <c r="AC597" s="20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</row>
    <row r="598" spans="1:44" ht="15.6" x14ac:dyDescent="0.3">
      <c r="A598" s="19"/>
      <c r="B598" s="19"/>
      <c r="C598" s="20"/>
      <c r="D598" s="19"/>
      <c r="E598" s="20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20"/>
      <c r="Q598" s="19"/>
      <c r="R598" s="19"/>
      <c r="S598" s="19"/>
      <c r="T598" s="19"/>
      <c r="U598" s="19"/>
      <c r="V598" s="19"/>
      <c r="W598" s="20"/>
      <c r="X598" s="19"/>
      <c r="Y598" s="21"/>
      <c r="Z598" s="21"/>
      <c r="AA598" s="21"/>
      <c r="AB598" s="21"/>
      <c r="AC598" s="20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</row>
    <row r="599" spans="1:44" ht="15.6" x14ac:dyDescent="0.3">
      <c r="A599" s="19"/>
      <c r="B599" s="19"/>
      <c r="C599" s="20"/>
      <c r="D599" s="19"/>
      <c r="E599" s="20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20"/>
      <c r="Q599" s="19"/>
      <c r="R599" s="19"/>
      <c r="S599" s="19"/>
      <c r="T599" s="19"/>
      <c r="U599" s="19"/>
      <c r="V599" s="19"/>
      <c r="W599" s="20"/>
      <c r="X599" s="19"/>
      <c r="Y599" s="21"/>
      <c r="Z599" s="21"/>
      <c r="AA599" s="21"/>
      <c r="AB599" s="21"/>
      <c r="AC599" s="20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</row>
    <row r="600" spans="1:44" ht="15.6" x14ac:dyDescent="0.3">
      <c r="A600" s="19"/>
      <c r="B600" s="19"/>
      <c r="C600" s="20"/>
      <c r="D600" s="19"/>
      <c r="E600" s="20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20"/>
      <c r="Q600" s="19"/>
      <c r="R600" s="19"/>
      <c r="S600" s="19"/>
      <c r="T600" s="19"/>
      <c r="U600" s="19"/>
      <c r="V600" s="19"/>
      <c r="W600" s="20"/>
      <c r="X600" s="19"/>
      <c r="Y600" s="21"/>
      <c r="Z600" s="21"/>
      <c r="AA600" s="21"/>
      <c r="AB600" s="21"/>
      <c r="AC600" s="20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</row>
    <row r="601" spans="1:44" ht="15.6" x14ac:dyDescent="0.3">
      <c r="A601" s="19"/>
      <c r="B601" s="19"/>
      <c r="C601" s="20"/>
      <c r="D601" s="19"/>
      <c r="E601" s="20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20"/>
      <c r="Q601" s="19"/>
      <c r="R601" s="19"/>
      <c r="S601" s="19"/>
      <c r="T601" s="19"/>
      <c r="U601" s="19"/>
      <c r="V601" s="19"/>
      <c r="W601" s="20"/>
      <c r="X601" s="19"/>
      <c r="Y601" s="21"/>
      <c r="Z601" s="21"/>
      <c r="AA601" s="21"/>
      <c r="AB601" s="21"/>
      <c r="AC601" s="20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</row>
    <row r="602" spans="1:44" ht="15.6" x14ac:dyDescent="0.3">
      <c r="A602" s="19"/>
      <c r="B602" s="19"/>
      <c r="C602" s="20"/>
      <c r="D602" s="19"/>
      <c r="E602" s="20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20"/>
      <c r="Q602" s="19"/>
      <c r="R602" s="19"/>
      <c r="S602" s="19"/>
      <c r="T602" s="19"/>
      <c r="U602" s="19"/>
      <c r="V602" s="19"/>
      <c r="W602" s="20"/>
      <c r="X602" s="19"/>
      <c r="Y602" s="21"/>
      <c r="Z602" s="21"/>
      <c r="AA602" s="21"/>
      <c r="AB602" s="21"/>
      <c r="AC602" s="20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</row>
    <row r="603" spans="1:44" ht="15.6" x14ac:dyDescent="0.3">
      <c r="A603" s="19"/>
      <c r="B603" s="19"/>
      <c r="C603" s="20"/>
      <c r="D603" s="19"/>
      <c r="E603" s="20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20"/>
      <c r="Q603" s="19"/>
      <c r="R603" s="19"/>
      <c r="S603" s="19"/>
      <c r="T603" s="19"/>
      <c r="U603" s="19"/>
      <c r="V603" s="19"/>
      <c r="W603" s="20"/>
      <c r="X603" s="19"/>
      <c r="Y603" s="21"/>
      <c r="Z603" s="21"/>
      <c r="AA603" s="21"/>
      <c r="AB603" s="21"/>
      <c r="AC603" s="20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</row>
    <row r="604" spans="1:44" ht="15.6" x14ac:dyDescent="0.3">
      <c r="A604" s="19"/>
      <c r="B604" s="19"/>
      <c r="C604" s="20"/>
      <c r="D604" s="19"/>
      <c r="E604" s="20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20"/>
      <c r="Q604" s="19"/>
      <c r="R604" s="19"/>
      <c r="S604" s="19"/>
      <c r="T604" s="19"/>
      <c r="U604" s="19"/>
      <c r="V604" s="19"/>
      <c r="W604" s="20"/>
      <c r="X604" s="19"/>
      <c r="Y604" s="21"/>
      <c r="Z604" s="21"/>
      <c r="AA604" s="21"/>
      <c r="AB604" s="21"/>
      <c r="AC604" s="20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</row>
    <row r="605" spans="1:44" ht="15.6" x14ac:dyDescent="0.3">
      <c r="A605" s="19"/>
      <c r="B605" s="19"/>
      <c r="C605" s="20"/>
      <c r="D605" s="19"/>
      <c r="E605" s="20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20"/>
      <c r="Q605" s="19"/>
      <c r="R605" s="19"/>
      <c r="S605" s="19"/>
      <c r="T605" s="19"/>
      <c r="U605" s="19"/>
      <c r="V605" s="19"/>
      <c r="W605" s="20"/>
      <c r="X605" s="19"/>
      <c r="Y605" s="21"/>
      <c r="Z605" s="21"/>
      <c r="AA605" s="21"/>
      <c r="AB605" s="21"/>
      <c r="AC605" s="20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</row>
    <row r="606" spans="1:44" ht="15.6" x14ac:dyDescent="0.3">
      <c r="A606" s="19"/>
      <c r="B606" s="19"/>
      <c r="C606" s="20"/>
      <c r="D606" s="19"/>
      <c r="E606" s="20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20"/>
      <c r="Q606" s="19"/>
      <c r="R606" s="19"/>
      <c r="S606" s="19"/>
      <c r="T606" s="19"/>
      <c r="U606" s="19"/>
      <c r="V606" s="19"/>
      <c r="W606" s="20"/>
      <c r="X606" s="19"/>
      <c r="Y606" s="21"/>
      <c r="Z606" s="21"/>
      <c r="AA606" s="21"/>
      <c r="AB606" s="21"/>
      <c r="AC606" s="20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</row>
    <row r="607" spans="1:44" ht="15.6" x14ac:dyDescent="0.3">
      <c r="A607" s="19"/>
      <c r="B607" s="19"/>
      <c r="C607" s="20"/>
      <c r="D607" s="19"/>
      <c r="E607" s="20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20"/>
      <c r="Q607" s="19"/>
      <c r="R607" s="19"/>
      <c r="S607" s="19"/>
      <c r="T607" s="19"/>
      <c r="U607" s="19"/>
      <c r="V607" s="19"/>
      <c r="W607" s="20"/>
      <c r="X607" s="19"/>
      <c r="Y607" s="21"/>
      <c r="Z607" s="21"/>
      <c r="AA607" s="21"/>
      <c r="AB607" s="21"/>
      <c r="AC607" s="20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</row>
    <row r="608" spans="1:44" ht="15.6" x14ac:dyDescent="0.3">
      <c r="A608" s="19"/>
      <c r="B608" s="19"/>
      <c r="C608" s="20"/>
      <c r="D608" s="19"/>
      <c r="E608" s="20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20"/>
      <c r="Q608" s="19"/>
      <c r="R608" s="19"/>
      <c r="S608" s="19"/>
      <c r="T608" s="19"/>
      <c r="U608" s="19"/>
      <c r="V608" s="19"/>
      <c r="W608" s="20"/>
      <c r="X608" s="19"/>
      <c r="Y608" s="21"/>
      <c r="Z608" s="21"/>
      <c r="AA608" s="21"/>
      <c r="AB608" s="21"/>
      <c r="AC608" s="20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</row>
    <row r="609" spans="1:44" ht="15.6" x14ac:dyDescent="0.3">
      <c r="A609" s="19"/>
      <c r="B609" s="19"/>
      <c r="C609" s="20"/>
      <c r="D609" s="19"/>
      <c r="E609" s="20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20"/>
      <c r="Q609" s="19"/>
      <c r="R609" s="19"/>
      <c r="S609" s="19"/>
      <c r="T609" s="19"/>
      <c r="U609" s="19"/>
      <c r="V609" s="19"/>
      <c r="W609" s="20"/>
      <c r="X609" s="19"/>
      <c r="Y609" s="21"/>
      <c r="Z609" s="21"/>
      <c r="AA609" s="21"/>
      <c r="AB609" s="21"/>
      <c r="AC609" s="20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</row>
    <row r="610" spans="1:44" ht="15.6" x14ac:dyDescent="0.3">
      <c r="A610" s="19"/>
      <c r="B610" s="19"/>
      <c r="C610" s="20"/>
      <c r="D610" s="19"/>
      <c r="E610" s="20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20"/>
      <c r="Q610" s="19"/>
      <c r="R610" s="19"/>
      <c r="S610" s="19"/>
      <c r="T610" s="19"/>
      <c r="U610" s="19"/>
      <c r="V610" s="19"/>
      <c r="W610" s="20"/>
      <c r="X610" s="19"/>
      <c r="Y610" s="21"/>
      <c r="Z610" s="21"/>
      <c r="AA610" s="21"/>
      <c r="AB610" s="21"/>
      <c r="AC610" s="20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</row>
    <row r="611" spans="1:44" ht="15.6" x14ac:dyDescent="0.3">
      <c r="A611" s="19"/>
      <c r="B611" s="19"/>
      <c r="C611" s="20"/>
      <c r="D611" s="19"/>
      <c r="E611" s="20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20"/>
      <c r="Q611" s="19"/>
      <c r="R611" s="19"/>
      <c r="S611" s="19"/>
      <c r="T611" s="19"/>
      <c r="U611" s="19"/>
      <c r="V611" s="19"/>
      <c r="W611" s="20"/>
      <c r="X611" s="19"/>
      <c r="Y611" s="21"/>
      <c r="Z611" s="21"/>
      <c r="AA611" s="21"/>
      <c r="AB611" s="21"/>
      <c r="AC611" s="20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</row>
    <row r="612" spans="1:44" ht="15.6" x14ac:dyDescent="0.3">
      <c r="A612" s="19"/>
      <c r="B612" s="19"/>
      <c r="C612" s="20"/>
      <c r="D612" s="19"/>
      <c r="E612" s="20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20"/>
      <c r="Q612" s="19"/>
      <c r="R612" s="19"/>
      <c r="S612" s="19"/>
      <c r="T612" s="19"/>
      <c r="U612" s="19"/>
      <c r="V612" s="19"/>
      <c r="W612" s="20"/>
      <c r="X612" s="19"/>
      <c r="Y612" s="21"/>
      <c r="Z612" s="21"/>
      <c r="AA612" s="21"/>
      <c r="AB612" s="21"/>
      <c r="AC612" s="20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</row>
    <row r="613" spans="1:44" ht="15.6" x14ac:dyDescent="0.3">
      <c r="A613" s="19"/>
      <c r="B613" s="19"/>
      <c r="C613" s="20"/>
      <c r="D613" s="19"/>
      <c r="E613" s="20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20"/>
      <c r="Q613" s="19"/>
      <c r="R613" s="19"/>
      <c r="S613" s="19"/>
      <c r="T613" s="19"/>
      <c r="U613" s="19"/>
      <c r="V613" s="19"/>
      <c r="W613" s="20"/>
      <c r="X613" s="19"/>
      <c r="Y613" s="21"/>
      <c r="Z613" s="21"/>
      <c r="AA613" s="21"/>
      <c r="AB613" s="21"/>
      <c r="AC613" s="20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</row>
    <row r="614" spans="1:44" ht="15.6" x14ac:dyDescent="0.3">
      <c r="A614" s="19"/>
      <c r="B614" s="19"/>
      <c r="C614" s="20"/>
      <c r="D614" s="19"/>
      <c r="E614" s="20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20"/>
      <c r="Q614" s="19"/>
      <c r="R614" s="19"/>
      <c r="S614" s="19"/>
      <c r="T614" s="19"/>
      <c r="U614" s="19"/>
      <c r="V614" s="19"/>
      <c r="W614" s="20"/>
      <c r="X614" s="19"/>
      <c r="Y614" s="21"/>
      <c r="Z614" s="21"/>
      <c r="AA614" s="21"/>
      <c r="AB614" s="21"/>
      <c r="AC614" s="20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</row>
    <row r="615" spans="1:44" ht="15.6" x14ac:dyDescent="0.3">
      <c r="A615" s="19"/>
      <c r="B615" s="19"/>
      <c r="C615" s="20"/>
      <c r="D615" s="19"/>
      <c r="E615" s="20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20"/>
      <c r="Q615" s="19"/>
      <c r="R615" s="19"/>
      <c r="S615" s="19"/>
      <c r="T615" s="19"/>
      <c r="U615" s="19"/>
      <c r="V615" s="19"/>
      <c r="W615" s="20"/>
      <c r="X615" s="19"/>
      <c r="Y615" s="21"/>
      <c r="Z615" s="21"/>
      <c r="AA615" s="21"/>
      <c r="AB615" s="21"/>
      <c r="AC615" s="20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</row>
    <row r="616" spans="1:44" ht="15.6" x14ac:dyDescent="0.3">
      <c r="A616" s="19"/>
      <c r="B616" s="19"/>
      <c r="C616" s="20"/>
      <c r="D616" s="19"/>
      <c r="E616" s="20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20"/>
      <c r="Q616" s="19"/>
      <c r="R616" s="19"/>
      <c r="S616" s="19"/>
      <c r="T616" s="19"/>
      <c r="U616" s="19"/>
      <c r="V616" s="19"/>
      <c r="W616" s="20"/>
      <c r="X616" s="19"/>
      <c r="Y616" s="21"/>
      <c r="Z616" s="21"/>
      <c r="AA616" s="21"/>
      <c r="AB616" s="21"/>
      <c r="AC616" s="20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</row>
    <row r="617" spans="1:44" ht="15.6" x14ac:dyDescent="0.3">
      <c r="A617" s="19"/>
      <c r="B617" s="19"/>
      <c r="C617" s="20"/>
      <c r="D617" s="19"/>
      <c r="E617" s="20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20"/>
      <c r="Q617" s="19"/>
      <c r="R617" s="19"/>
      <c r="S617" s="19"/>
      <c r="T617" s="19"/>
      <c r="U617" s="19"/>
      <c r="V617" s="19"/>
      <c r="W617" s="20"/>
      <c r="X617" s="19"/>
      <c r="Y617" s="21"/>
      <c r="Z617" s="21"/>
      <c r="AA617" s="21"/>
      <c r="AB617" s="21"/>
      <c r="AC617" s="20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</row>
    <row r="618" spans="1:44" ht="15.6" x14ac:dyDescent="0.3">
      <c r="A618" s="19"/>
      <c r="B618" s="19"/>
      <c r="C618" s="20"/>
      <c r="D618" s="19"/>
      <c r="E618" s="20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20"/>
      <c r="Q618" s="19"/>
      <c r="R618" s="19"/>
      <c r="S618" s="19"/>
      <c r="T618" s="19"/>
      <c r="U618" s="19"/>
      <c r="V618" s="19"/>
      <c r="W618" s="20"/>
      <c r="X618" s="19"/>
      <c r="Y618" s="21"/>
      <c r="Z618" s="21"/>
      <c r="AA618" s="21"/>
      <c r="AB618" s="21"/>
      <c r="AC618" s="20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</row>
    <row r="619" spans="1:44" ht="15.6" x14ac:dyDescent="0.3">
      <c r="A619" s="19"/>
      <c r="B619" s="19"/>
      <c r="C619" s="20"/>
      <c r="D619" s="19"/>
      <c r="E619" s="20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20"/>
      <c r="Q619" s="19"/>
      <c r="R619" s="19"/>
      <c r="S619" s="19"/>
      <c r="T619" s="19"/>
      <c r="U619" s="19"/>
      <c r="V619" s="19"/>
      <c r="W619" s="20"/>
      <c r="X619" s="19"/>
      <c r="Y619" s="21"/>
      <c r="Z619" s="21"/>
      <c r="AA619" s="21"/>
      <c r="AB619" s="21"/>
      <c r="AC619" s="20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</row>
    <row r="620" spans="1:44" ht="15.6" x14ac:dyDescent="0.3">
      <c r="A620" s="19"/>
      <c r="B620" s="19"/>
      <c r="C620" s="20"/>
      <c r="D620" s="19"/>
      <c r="E620" s="20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20"/>
      <c r="Q620" s="19"/>
      <c r="R620" s="19"/>
      <c r="S620" s="19"/>
      <c r="T620" s="19"/>
      <c r="U620" s="19"/>
      <c r="V620" s="19"/>
      <c r="W620" s="20"/>
      <c r="X620" s="19"/>
      <c r="Y620" s="21"/>
      <c r="Z620" s="21"/>
      <c r="AA620" s="21"/>
      <c r="AB620" s="21"/>
      <c r="AC620" s="20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</row>
    <row r="621" spans="1:44" ht="15.6" x14ac:dyDescent="0.3">
      <c r="A621" s="19"/>
      <c r="B621" s="19"/>
      <c r="C621" s="20"/>
      <c r="D621" s="19"/>
      <c r="E621" s="20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20"/>
      <c r="Q621" s="19"/>
      <c r="R621" s="19"/>
      <c r="S621" s="19"/>
      <c r="T621" s="19"/>
      <c r="U621" s="19"/>
      <c r="V621" s="19"/>
      <c r="W621" s="20"/>
      <c r="X621" s="19"/>
      <c r="Y621" s="21"/>
      <c r="Z621" s="21"/>
      <c r="AA621" s="21"/>
      <c r="AB621" s="21"/>
      <c r="AC621" s="20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</row>
    <row r="622" spans="1:44" ht="15.6" x14ac:dyDescent="0.3">
      <c r="A622" s="19"/>
      <c r="B622" s="19"/>
      <c r="C622" s="20"/>
      <c r="D622" s="19"/>
      <c r="E622" s="20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20"/>
      <c r="Q622" s="19"/>
      <c r="R622" s="19"/>
      <c r="S622" s="19"/>
      <c r="T622" s="19"/>
      <c r="U622" s="19"/>
      <c r="V622" s="19"/>
      <c r="W622" s="20"/>
      <c r="X622" s="19"/>
      <c r="Y622" s="21"/>
      <c r="Z622" s="21"/>
      <c r="AA622" s="21"/>
      <c r="AB622" s="21"/>
      <c r="AC622" s="20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</row>
    <row r="623" spans="1:44" ht="15.6" x14ac:dyDescent="0.3">
      <c r="A623" s="19"/>
      <c r="B623" s="19"/>
      <c r="C623" s="20"/>
      <c r="D623" s="19"/>
      <c r="E623" s="20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20"/>
      <c r="Q623" s="19"/>
      <c r="R623" s="19"/>
      <c r="S623" s="19"/>
      <c r="T623" s="19"/>
      <c r="U623" s="19"/>
      <c r="V623" s="19"/>
      <c r="W623" s="20"/>
      <c r="X623" s="19"/>
      <c r="Y623" s="21"/>
      <c r="Z623" s="21"/>
      <c r="AA623" s="21"/>
      <c r="AB623" s="21"/>
      <c r="AC623" s="20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</row>
    <row r="624" spans="1:44" ht="15.6" x14ac:dyDescent="0.3">
      <c r="A624" s="19"/>
      <c r="B624" s="19"/>
      <c r="C624" s="20"/>
      <c r="D624" s="19"/>
      <c r="E624" s="20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20"/>
      <c r="Q624" s="19"/>
      <c r="R624" s="19"/>
      <c r="S624" s="19"/>
      <c r="T624" s="19"/>
      <c r="U624" s="19"/>
      <c r="V624" s="19"/>
      <c r="W624" s="20"/>
      <c r="X624" s="19"/>
      <c r="Y624" s="21"/>
      <c r="Z624" s="21"/>
      <c r="AA624" s="21"/>
      <c r="AB624" s="21"/>
      <c r="AC624" s="20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</row>
    <row r="625" spans="1:44" ht="15.6" x14ac:dyDescent="0.3">
      <c r="A625" s="19"/>
      <c r="B625" s="19"/>
      <c r="C625" s="20"/>
      <c r="D625" s="19"/>
      <c r="E625" s="20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20"/>
      <c r="Q625" s="19"/>
      <c r="R625" s="19"/>
      <c r="S625" s="19"/>
      <c r="T625" s="19"/>
      <c r="U625" s="19"/>
      <c r="V625" s="19"/>
      <c r="W625" s="20"/>
      <c r="X625" s="19"/>
      <c r="Y625" s="21"/>
      <c r="Z625" s="21"/>
      <c r="AA625" s="21"/>
      <c r="AB625" s="21"/>
      <c r="AC625" s="20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</row>
    <row r="626" spans="1:44" ht="15.6" x14ac:dyDescent="0.3">
      <c r="A626" s="19"/>
      <c r="B626" s="19"/>
      <c r="C626" s="20"/>
      <c r="D626" s="19"/>
      <c r="E626" s="20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20"/>
      <c r="Q626" s="19"/>
      <c r="R626" s="19"/>
      <c r="S626" s="19"/>
      <c r="T626" s="19"/>
      <c r="U626" s="19"/>
      <c r="V626" s="19"/>
      <c r="W626" s="20"/>
      <c r="X626" s="19"/>
      <c r="Y626" s="21"/>
      <c r="Z626" s="21"/>
      <c r="AA626" s="21"/>
      <c r="AB626" s="21"/>
      <c r="AC626" s="20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</row>
    <row r="627" spans="1:44" ht="15.6" x14ac:dyDescent="0.3">
      <c r="A627" s="19"/>
      <c r="B627" s="19"/>
      <c r="C627" s="20"/>
      <c r="D627" s="19"/>
      <c r="E627" s="20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20"/>
      <c r="Q627" s="19"/>
      <c r="R627" s="19"/>
      <c r="S627" s="19"/>
      <c r="T627" s="19"/>
      <c r="U627" s="19"/>
      <c r="V627" s="19"/>
      <c r="W627" s="20"/>
      <c r="X627" s="19"/>
      <c r="Y627" s="21"/>
      <c r="Z627" s="21"/>
      <c r="AA627" s="21"/>
      <c r="AB627" s="21"/>
      <c r="AC627" s="20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</row>
    <row r="628" spans="1:44" ht="15.6" x14ac:dyDescent="0.3">
      <c r="A628" s="19"/>
      <c r="B628" s="19"/>
      <c r="C628" s="20"/>
      <c r="D628" s="19"/>
      <c r="E628" s="20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20"/>
      <c r="Q628" s="19"/>
      <c r="R628" s="19"/>
      <c r="S628" s="19"/>
      <c r="T628" s="19"/>
      <c r="U628" s="19"/>
      <c r="V628" s="19"/>
      <c r="W628" s="20"/>
      <c r="X628" s="19"/>
      <c r="Y628" s="21"/>
      <c r="Z628" s="21"/>
      <c r="AA628" s="21"/>
      <c r="AB628" s="21"/>
      <c r="AC628" s="20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</row>
    <row r="629" spans="1:44" ht="15.6" x14ac:dyDescent="0.3">
      <c r="A629" s="19"/>
      <c r="B629" s="19"/>
      <c r="C629" s="20"/>
      <c r="D629" s="19"/>
      <c r="E629" s="20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20"/>
      <c r="Q629" s="19"/>
      <c r="R629" s="19"/>
      <c r="S629" s="19"/>
      <c r="T629" s="19"/>
      <c r="U629" s="19"/>
      <c r="V629" s="19"/>
      <c r="W629" s="20"/>
      <c r="X629" s="19"/>
      <c r="Y629" s="21"/>
      <c r="Z629" s="21"/>
      <c r="AA629" s="21"/>
      <c r="AB629" s="21"/>
      <c r="AC629" s="20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</row>
    <row r="630" spans="1:44" ht="15.6" x14ac:dyDescent="0.3">
      <c r="A630" s="19"/>
      <c r="B630" s="19"/>
      <c r="C630" s="20"/>
      <c r="D630" s="19"/>
      <c r="E630" s="20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20"/>
      <c r="Q630" s="19"/>
      <c r="R630" s="19"/>
      <c r="S630" s="19"/>
      <c r="T630" s="19"/>
      <c r="U630" s="19"/>
      <c r="V630" s="19"/>
      <c r="W630" s="20"/>
      <c r="X630" s="19"/>
      <c r="Y630" s="21"/>
      <c r="Z630" s="21"/>
      <c r="AA630" s="21"/>
      <c r="AB630" s="21"/>
      <c r="AC630" s="20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</row>
    <row r="631" spans="1:44" ht="15.6" x14ac:dyDescent="0.3">
      <c r="A631" s="19"/>
      <c r="B631" s="19"/>
      <c r="C631" s="20"/>
      <c r="D631" s="19"/>
      <c r="E631" s="20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20"/>
      <c r="Q631" s="19"/>
      <c r="R631" s="19"/>
      <c r="S631" s="19"/>
      <c r="T631" s="19"/>
      <c r="U631" s="19"/>
      <c r="V631" s="19"/>
      <c r="W631" s="20"/>
      <c r="X631" s="19"/>
      <c r="Y631" s="21"/>
      <c r="Z631" s="21"/>
      <c r="AA631" s="21"/>
      <c r="AB631" s="21"/>
      <c r="AC631" s="20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</row>
    <row r="632" spans="1:44" ht="15.6" x14ac:dyDescent="0.3">
      <c r="A632" s="19"/>
      <c r="B632" s="19"/>
      <c r="C632" s="20"/>
      <c r="D632" s="19"/>
      <c r="E632" s="20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20"/>
      <c r="Q632" s="19"/>
      <c r="R632" s="19"/>
      <c r="S632" s="19"/>
      <c r="T632" s="19"/>
      <c r="U632" s="19"/>
      <c r="V632" s="19"/>
      <c r="W632" s="20"/>
      <c r="X632" s="19"/>
      <c r="Y632" s="21"/>
      <c r="Z632" s="21"/>
      <c r="AA632" s="21"/>
      <c r="AB632" s="21"/>
      <c r="AC632" s="20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</row>
    <row r="633" spans="1:44" ht="15.6" x14ac:dyDescent="0.3">
      <c r="A633" s="19"/>
      <c r="B633" s="19"/>
      <c r="C633" s="20"/>
      <c r="D633" s="19"/>
      <c r="E633" s="20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20"/>
      <c r="Q633" s="19"/>
      <c r="R633" s="19"/>
      <c r="S633" s="19"/>
      <c r="T633" s="19"/>
      <c r="U633" s="19"/>
      <c r="V633" s="19"/>
      <c r="W633" s="20"/>
      <c r="X633" s="19"/>
      <c r="Y633" s="21"/>
      <c r="Z633" s="21"/>
      <c r="AA633" s="21"/>
      <c r="AB633" s="21"/>
      <c r="AC633" s="20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</row>
    <row r="634" spans="1:44" ht="15.6" x14ac:dyDescent="0.3">
      <c r="A634" s="19"/>
      <c r="B634" s="19"/>
      <c r="C634" s="20"/>
      <c r="D634" s="19"/>
      <c r="E634" s="20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20"/>
      <c r="Q634" s="19"/>
      <c r="R634" s="19"/>
      <c r="S634" s="19"/>
      <c r="T634" s="19"/>
      <c r="U634" s="19"/>
      <c r="V634" s="19"/>
      <c r="W634" s="20"/>
      <c r="X634" s="19"/>
      <c r="Y634" s="21"/>
      <c r="Z634" s="21"/>
      <c r="AA634" s="21"/>
      <c r="AB634" s="21"/>
      <c r="AC634" s="20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</row>
    <row r="635" spans="1:44" ht="15.6" x14ac:dyDescent="0.3">
      <c r="A635" s="19"/>
      <c r="B635" s="19"/>
      <c r="C635" s="20"/>
      <c r="D635" s="19"/>
      <c r="E635" s="20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20"/>
      <c r="Q635" s="19"/>
      <c r="R635" s="19"/>
      <c r="S635" s="19"/>
      <c r="T635" s="19"/>
      <c r="U635" s="19"/>
      <c r="V635" s="19"/>
      <c r="W635" s="20"/>
      <c r="X635" s="19"/>
      <c r="Y635" s="21"/>
      <c r="Z635" s="21"/>
      <c r="AA635" s="21"/>
      <c r="AB635" s="21"/>
      <c r="AC635" s="20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</row>
    <row r="636" spans="1:44" ht="15.6" x14ac:dyDescent="0.3">
      <c r="A636" s="19"/>
      <c r="B636" s="19"/>
      <c r="C636" s="20"/>
      <c r="D636" s="19"/>
      <c r="E636" s="20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20"/>
      <c r="Q636" s="19"/>
      <c r="R636" s="19"/>
      <c r="S636" s="19"/>
      <c r="T636" s="19"/>
      <c r="U636" s="19"/>
      <c r="V636" s="19"/>
      <c r="W636" s="20"/>
      <c r="X636" s="19"/>
      <c r="Y636" s="21"/>
      <c r="Z636" s="21"/>
      <c r="AA636" s="21"/>
      <c r="AB636" s="21"/>
      <c r="AC636" s="20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</row>
    <row r="637" spans="1:44" ht="15.6" x14ac:dyDescent="0.3">
      <c r="A637" s="19"/>
      <c r="B637" s="19"/>
      <c r="C637" s="20"/>
      <c r="D637" s="19"/>
      <c r="E637" s="20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20"/>
      <c r="Q637" s="19"/>
      <c r="R637" s="19"/>
      <c r="S637" s="19"/>
      <c r="T637" s="19"/>
      <c r="U637" s="19"/>
      <c r="V637" s="19"/>
      <c r="W637" s="20"/>
      <c r="X637" s="19"/>
      <c r="Y637" s="21"/>
      <c r="Z637" s="21"/>
      <c r="AA637" s="21"/>
      <c r="AB637" s="21"/>
      <c r="AC637" s="20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</row>
    <row r="638" spans="1:44" ht="15.6" x14ac:dyDescent="0.3">
      <c r="A638" s="19"/>
      <c r="B638" s="19"/>
      <c r="C638" s="20"/>
      <c r="D638" s="19"/>
      <c r="E638" s="20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20"/>
      <c r="Q638" s="19"/>
      <c r="R638" s="19"/>
      <c r="S638" s="19"/>
      <c r="T638" s="19"/>
      <c r="U638" s="19"/>
      <c r="V638" s="19"/>
      <c r="W638" s="20"/>
      <c r="X638" s="19"/>
      <c r="Y638" s="21"/>
      <c r="Z638" s="21"/>
      <c r="AA638" s="21"/>
      <c r="AB638" s="21"/>
      <c r="AC638" s="20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</row>
    <row r="639" spans="1:44" ht="15.6" x14ac:dyDescent="0.3">
      <c r="A639" s="19"/>
      <c r="B639" s="19"/>
      <c r="C639" s="20"/>
      <c r="D639" s="19"/>
      <c r="E639" s="20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20"/>
      <c r="Q639" s="19"/>
      <c r="R639" s="19"/>
      <c r="S639" s="19"/>
      <c r="T639" s="19"/>
      <c r="U639" s="19"/>
      <c r="V639" s="19"/>
      <c r="W639" s="20"/>
      <c r="X639" s="19"/>
      <c r="Y639" s="21"/>
      <c r="Z639" s="21"/>
      <c r="AA639" s="21"/>
      <c r="AB639" s="21"/>
      <c r="AC639" s="20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</row>
    <row r="640" spans="1:44" ht="15.6" x14ac:dyDescent="0.3">
      <c r="A640" s="19"/>
      <c r="B640" s="19"/>
      <c r="C640" s="20"/>
      <c r="D640" s="19"/>
      <c r="E640" s="20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20"/>
      <c r="Q640" s="19"/>
      <c r="R640" s="19"/>
      <c r="S640" s="19"/>
      <c r="T640" s="19"/>
      <c r="U640" s="19"/>
      <c r="V640" s="19"/>
      <c r="W640" s="20"/>
      <c r="X640" s="19"/>
      <c r="Y640" s="21"/>
      <c r="Z640" s="21"/>
      <c r="AA640" s="21"/>
      <c r="AB640" s="21"/>
      <c r="AC640" s="20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</row>
    <row r="641" spans="1:44" ht="15.6" x14ac:dyDescent="0.3">
      <c r="A641" s="19"/>
      <c r="B641" s="19"/>
      <c r="C641" s="20"/>
      <c r="D641" s="19"/>
      <c r="E641" s="20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20"/>
      <c r="Q641" s="19"/>
      <c r="R641" s="19"/>
      <c r="S641" s="19"/>
      <c r="T641" s="19"/>
      <c r="U641" s="19"/>
      <c r="V641" s="19"/>
      <c r="W641" s="20"/>
      <c r="X641" s="19"/>
      <c r="Y641" s="21"/>
      <c r="Z641" s="21"/>
      <c r="AA641" s="21"/>
      <c r="AB641" s="21"/>
      <c r="AC641" s="20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</row>
    <row r="642" spans="1:44" ht="15.6" x14ac:dyDescent="0.3">
      <c r="A642" s="19"/>
      <c r="B642" s="19"/>
      <c r="C642" s="20"/>
      <c r="D642" s="19"/>
      <c r="E642" s="20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20"/>
      <c r="Q642" s="19"/>
      <c r="R642" s="19"/>
      <c r="S642" s="19"/>
      <c r="T642" s="19"/>
      <c r="U642" s="19"/>
      <c r="V642" s="19"/>
      <c r="W642" s="20"/>
      <c r="X642" s="19"/>
      <c r="Y642" s="21"/>
      <c r="Z642" s="21"/>
      <c r="AA642" s="21"/>
      <c r="AB642" s="21"/>
      <c r="AC642" s="20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</row>
    <row r="643" spans="1:44" ht="15.6" x14ac:dyDescent="0.3">
      <c r="A643" s="19"/>
      <c r="B643" s="19"/>
      <c r="C643" s="20"/>
      <c r="D643" s="19"/>
      <c r="E643" s="20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20"/>
      <c r="Q643" s="19"/>
      <c r="R643" s="19"/>
      <c r="S643" s="19"/>
      <c r="T643" s="19"/>
      <c r="U643" s="19"/>
      <c r="V643" s="19"/>
      <c r="W643" s="20"/>
      <c r="X643" s="19"/>
      <c r="Y643" s="21"/>
      <c r="Z643" s="21"/>
      <c r="AA643" s="21"/>
      <c r="AB643" s="21"/>
      <c r="AC643" s="20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</row>
    <row r="644" spans="1:44" ht="15.6" x14ac:dyDescent="0.3">
      <c r="A644" s="19"/>
      <c r="B644" s="19"/>
      <c r="C644" s="20"/>
      <c r="D644" s="19"/>
      <c r="E644" s="20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20"/>
      <c r="Q644" s="19"/>
      <c r="R644" s="19"/>
      <c r="S644" s="19"/>
      <c r="T644" s="19"/>
      <c r="U644" s="19"/>
      <c r="V644" s="19"/>
      <c r="W644" s="20"/>
      <c r="X644" s="19"/>
      <c r="Y644" s="21"/>
      <c r="Z644" s="21"/>
      <c r="AA644" s="21"/>
      <c r="AB644" s="21"/>
      <c r="AC644" s="20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</row>
    <row r="645" spans="1:44" ht="15.6" x14ac:dyDescent="0.3">
      <c r="A645" s="19"/>
      <c r="B645" s="19"/>
      <c r="C645" s="20"/>
      <c r="D645" s="19"/>
      <c r="E645" s="20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20"/>
      <c r="Q645" s="19"/>
      <c r="R645" s="19"/>
      <c r="S645" s="19"/>
      <c r="T645" s="19"/>
      <c r="U645" s="19"/>
      <c r="V645" s="19"/>
      <c r="W645" s="20"/>
      <c r="X645" s="19"/>
      <c r="Y645" s="21"/>
      <c r="Z645" s="21"/>
      <c r="AA645" s="21"/>
      <c r="AB645" s="21"/>
      <c r="AC645" s="20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</row>
    <row r="646" spans="1:44" ht="15.6" x14ac:dyDescent="0.3">
      <c r="A646" s="19"/>
      <c r="B646" s="19"/>
      <c r="C646" s="20"/>
      <c r="D646" s="19"/>
      <c r="E646" s="20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20"/>
      <c r="Q646" s="19"/>
      <c r="R646" s="19"/>
      <c r="S646" s="19"/>
      <c r="T646" s="19"/>
      <c r="U646" s="19"/>
      <c r="V646" s="19"/>
      <c r="W646" s="20"/>
      <c r="X646" s="19"/>
      <c r="Y646" s="21"/>
      <c r="Z646" s="21"/>
      <c r="AA646" s="21"/>
      <c r="AB646" s="21"/>
      <c r="AC646" s="20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</row>
    <row r="647" spans="1:44" ht="15.6" x14ac:dyDescent="0.3">
      <c r="A647" s="19"/>
      <c r="B647" s="19"/>
      <c r="C647" s="20"/>
      <c r="D647" s="19"/>
      <c r="E647" s="20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20"/>
      <c r="Q647" s="19"/>
      <c r="R647" s="19"/>
      <c r="S647" s="19"/>
      <c r="T647" s="19"/>
      <c r="U647" s="19"/>
      <c r="V647" s="19"/>
      <c r="W647" s="20"/>
      <c r="X647" s="19"/>
      <c r="Y647" s="21"/>
      <c r="Z647" s="21"/>
      <c r="AA647" s="21"/>
      <c r="AB647" s="21"/>
      <c r="AC647" s="20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</row>
    <row r="648" spans="1:44" ht="15.6" x14ac:dyDescent="0.3">
      <c r="A648" s="19"/>
      <c r="B648" s="19"/>
      <c r="C648" s="20"/>
      <c r="D648" s="19"/>
      <c r="E648" s="20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20"/>
      <c r="Q648" s="19"/>
      <c r="R648" s="19"/>
      <c r="S648" s="19"/>
      <c r="T648" s="19"/>
      <c r="U648" s="19"/>
      <c r="V648" s="19"/>
      <c r="W648" s="20"/>
      <c r="X648" s="19"/>
      <c r="Y648" s="21"/>
      <c r="Z648" s="21"/>
      <c r="AA648" s="21"/>
      <c r="AB648" s="21"/>
      <c r="AC648" s="20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</row>
    <row r="649" spans="1:44" ht="15.6" x14ac:dyDescent="0.3">
      <c r="A649" s="19"/>
      <c r="B649" s="19"/>
      <c r="C649" s="20"/>
      <c r="D649" s="19"/>
      <c r="E649" s="20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20"/>
      <c r="Q649" s="19"/>
      <c r="R649" s="19"/>
      <c r="S649" s="19"/>
      <c r="T649" s="19"/>
      <c r="U649" s="19"/>
      <c r="V649" s="19"/>
      <c r="W649" s="20"/>
      <c r="X649" s="19"/>
      <c r="Y649" s="21"/>
      <c r="Z649" s="21"/>
      <c r="AA649" s="21"/>
      <c r="AB649" s="21"/>
      <c r="AC649" s="20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</row>
    <row r="650" spans="1:44" ht="15.6" x14ac:dyDescent="0.3">
      <c r="A650" s="19"/>
      <c r="B650" s="19"/>
      <c r="C650" s="20"/>
      <c r="D650" s="19"/>
      <c r="E650" s="20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20"/>
      <c r="Q650" s="19"/>
      <c r="R650" s="19"/>
      <c r="S650" s="19"/>
      <c r="T650" s="19"/>
      <c r="U650" s="19"/>
      <c r="V650" s="19"/>
      <c r="W650" s="20"/>
      <c r="X650" s="19"/>
      <c r="Y650" s="21"/>
      <c r="Z650" s="21"/>
      <c r="AA650" s="21"/>
      <c r="AB650" s="21"/>
      <c r="AC650" s="20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</row>
    <row r="651" spans="1:44" ht="15.6" x14ac:dyDescent="0.3">
      <c r="A651" s="19"/>
      <c r="B651" s="19"/>
      <c r="C651" s="20"/>
      <c r="D651" s="19"/>
      <c r="E651" s="20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20"/>
      <c r="Q651" s="19"/>
      <c r="R651" s="19"/>
      <c r="S651" s="19"/>
      <c r="T651" s="19"/>
      <c r="U651" s="19"/>
      <c r="V651" s="19"/>
      <c r="W651" s="20"/>
      <c r="X651" s="19"/>
      <c r="Y651" s="21"/>
      <c r="Z651" s="21"/>
      <c r="AA651" s="21"/>
      <c r="AB651" s="21"/>
      <c r="AC651" s="20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</row>
    <row r="652" spans="1:44" ht="15.6" x14ac:dyDescent="0.3">
      <c r="A652" s="19"/>
      <c r="B652" s="19"/>
      <c r="C652" s="20"/>
      <c r="D652" s="19"/>
      <c r="E652" s="20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20"/>
      <c r="Q652" s="19"/>
      <c r="R652" s="19"/>
      <c r="S652" s="19"/>
      <c r="T652" s="19"/>
      <c r="U652" s="19"/>
      <c r="V652" s="19"/>
      <c r="W652" s="20"/>
      <c r="X652" s="19"/>
      <c r="Y652" s="21"/>
      <c r="Z652" s="21"/>
      <c r="AA652" s="21"/>
      <c r="AB652" s="21"/>
      <c r="AC652" s="20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</row>
    <row r="653" spans="1:44" ht="15.6" x14ac:dyDescent="0.3">
      <c r="A653" s="19"/>
      <c r="B653" s="19"/>
      <c r="C653" s="20"/>
      <c r="D653" s="19"/>
      <c r="E653" s="20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20"/>
      <c r="Q653" s="19"/>
      <c r="R653" s="19"/>
      <c r="S653" s="19"/>
      <c r="T653" s="19"/>
      <c r="U653" s="19"/>
      <c r="V653" s="19"/>
      <c r="W653" s="20"/>
      <c r="X653" s="19"/>
      <c r="Y653" s="21"/>
      <c r="Z653" s="21"/>
      <c r="AA653" s="21"/>
      <c r="AB653" s="21"/>
      <c r="AC653" s="20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</row>
    <row r="654" spans="1:44" ht="15.6" x14ac:dyDescent="0.3">
      <c r="A654" s="19"/>
      <c r="B654" s="19"/>
      <c r="C654" s="20"/>
      <c r="D654" s="19"/>
      <c r="E654" s="20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20"/>
      <c r="Q654" s="19"/>
      <c r="R654" s="19"/>
      <c r="S654" s="19"/>
      <c r="T654" s="19"/>
      <c r="U654" s="19"/>
      <c r="V654" s="19"/>
      <c r="W654" s="20"/>
      <c r="X654" s="19"/>
      <c r="Y654" s="21"/>
      <c r="Z654" s="21"/>
      <c r="AA654" s="21"/>
      <c r="AB654" s="21"/>
      <c r="AC654" s="20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</row>
    <row r="655" spans="1:44" ht="15.6" x14ac:dyDescent="0.3">
      <c r="A655" s="19"/>
      <c r="B655" s="19"/>
      <c r="C655" s="20"/>
      <c r="D655" s="19"/>
      <c r="E655" s="20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20"/>
      <c r="Q655" s="19"/>
      <c r="R655" s="19"/>
      <c r="S655" s="19"/>
      <c r="T655" s="19"/>
      <c r="U655" s="19"/>
      <c r="V655" s="19"/>
      <c r="W655" s="20"/>
      <c r="X655" s="19"/>
      <c r="Y655" s="21"/>
      <c r="Z655" s="21"/>
      <c r="AA655" s="21"/>
      <c r="AB655" s="21"/>
      <c r="AC655" s="20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</row>
    <row r="656" spans="1:44" ht="15.6" x14ac:dyDescent="0.3">
      <c r="A656" s="19"/>
      <c r="B656" s="19"/>
      <c r="C656" s="20"/>
      <c r="D656" s="19"/>
      <c r="E656" s="20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20"/>
      <c r="Q656" s="19"/>
      <c r="R656" s="19"/>
      <c r="S656" s="19"/>
      <c r="T656" s="19"/>
      <c r="U656" s="19"/>
      <c r="V656" s="19"/>
      <c r="W656" s="20"/>
      <c r="X656" s="19"/>
      <c r="Y656" s="21"/>
      <c r="Z656" s="21"/>
      <c r="AA656" s="21"/>
      <c r="AB656" s="21"/>
      <c r="AC656" s="20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</row>
    <row r="657" spans="1:44" ht="15.6" x14ac:dyDescent="0.3">
      <c r="A657" s="19"/>
      <c r="B657" s="19"/>
      <c r="C657" s="20"/>
      <c r="D657" s="19"/>
      <c r="E657" s="20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20"/>
      <c r="Q657" s="19"/>
      <c r="R657" s="19"/>
      <c r="S657" s="19"/>
      <c r="T657" s="19"/>
      <c r="U657" s="19"/>
      <c r="V657" s="19"/>
      <c r="W657" s="20"/>
      <c r="X657" s="19"/>
      <c r="Y657" s="21"/>
      <c r="Z657" s="21"/>
      <c r="AA657" s="21"/>
      <c r="AB657" s="21"/>
      <c r="AC657" s="20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</row>
    <row r="658" spans="1:44" ht="15.6" x14ac:dyDescent="0.3">
      <c r="A658" s="19"/>
      <c r="B658" s="19"/>
      <c r="C658" s="20"/>
      <c r="D658" s="19"/>
      <c r="E658" s="20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20"/>
      <c r="Q658" s="19"/>
      <c r="R658" s="19"/>
      <c r="S658" s="19"/>
      <c r="T658" s="19"/>
      <c r="U658" s="19"/>
      <c r="V658" s="19"/>
      <c r="W658" s="20"/>
      <c r="X658" s="19"/>
      <c r="Y658" s="21"/>
      <c r="Z658" s="21"/>
      <c r="AA658" s="21"/>
      <c r="AB658" s="21"/>
      <c r="AC658" s="20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</row>
    <row r="659" spans="1:44" ht="15.6" x14ac:dyDescent="0.3">
      <c r="A659" s="19"/>
      <c r="B659" s="19"/>
      <c r="C659" s="20"/>
      <c r="D659" s="19"/>
      <c r="E659" s="20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20"/>
      <c r="Q659" s="19"/>
      <c r="R659" s="19"/>
      <c r="S659" s="19"/>
      <c r="T659" s="19"/>
      <c r="U659" s="19"/>
      <c r="V659" s="19"/>
      <c r="W659" s="20"/>
      <c r="X659" s="19"/>
      <c r="Y659" s="21"/>
      <c r="Z659" s="21"/>
      <c r="AA659" s="21"/>
      <c r="AB659" s="21"/>
      <c r="AC659" s="20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</row>
    <row r="660" spans="1:44" ht="15.6" x14ac:dyDescent="0.3">
      <c r="A660" s="19"/>
      <c r="B660" s="19"/>
      <c r="C660" s="20"/>
      <c r="D660" s="19"/>
      <c r="E660" s="20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20"/>
      <c r="Q660" s="19"/>
      <c r="R660" s="19"/>
      <c r="S660" s="19"/>
      <c r="T660" s="19"/>
      <c r="U660" s="19"/>
      <c r="V660" s="19"/>
      <c r="W660" s="20"/>
      <c r="X660" s="19"/>
      <c r="Y660" s="21"/>
      <c r="Z660" s="21"/>
      <c r="AA660" s="21"/>
      <c r="AB660" s="21"/>
      <c r="AC660" s="20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</row>
    <row r="661" spans="1:44" ht="15.6" x14ac:dyDescent="0.3">
      <c r="A661" s="19"/>
      <c r="B661" s="19"/>
      <c r="C661" s="20"/>
      <c r="D661" s="19"/>
      <c r="E661" s="20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20"/>
      <c r="Q661" s="19"/>
      <c r="R661" s="19"/>
      <c r="S661" s="19"/>
      <c r="T661" s="19"/>
      <c r="U661" s="19"/>
      <c r="V661" s="19"/>
      <c r="W661" s="20"/>
      <c r="X661" s="19"/>
      <c r="Y661" s="21"/>
      <c r="Z661" s="21"/>
      <c r="AA661" s="21"/>
      <c r="AB661" s="21"/>
      <c r="AC661" s="20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</row>
    <row r="662" spans="1:44" ht="15.6" x14ac:dyDescent="0.3">
      <c r="A662" s="19"/>
      <c r="B662" s="19"/>
      <c r="C662" s="20"/>
      <c r="D662" s="19"/>
      <c r="E662" s="20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20"/>
      <c r="Q662" s="19"/>
      <c r="R662" s="19"/>
      <c r="S662" s="19"/>
      <c r="T662" s="19"/>
      <c r="U662" s="19"/>
      <c r="V662" s="19"/>
      <c r="W662" s="20"/>
      <c r="X662" s="19"/>
      <c r="Y662" s="21"/>
      <c r="Z662" s="21"/>
      <c r="AA662" s="21"/>
      <c r="AB662" s="21"/>
      <c r="AC662" s="20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</row>
    <row r="663" spans="1:44" ht="15.6" x14ac:dyDescent="0.3">
      <c r="A663" s="19"/>
      <c r="B663" s="19"/>
      <c r="C663" s="20"/>
      <c r="D663" s="19"/>
      <c r="E663" s="20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20"/>
      <c r="Q663" s="19"/>
      <c r="R663" s="19"/>
      <c r="S663" s="19"/>
      <c r="T663" s="19"/>
      <c r="U663" s="19"/>
      <c r="V663" s="19"/>
      <c r="W663" s="20"/>
      <c r="X663" s="19"/>
      <c r="Y663" s="21"/>
      <c r="Z663" s="21"/>
      <c r="AA663" s="21"/>
      <c r="AB663" s="21"/>
      <c r="AC663" s="20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</row>
    <row r="664" spans="1:44" ht="15.6" x14ac:dyDescent="0.3">
      <c r="A664" s="19"/>
      <c r="B664" s="19"/>
      <c r="C664" s="20"/>
      <c r="D664" s="19"/>
      <c r="E664" s="20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20"/>
      <c r="Q664" s="19"/>
      <c r="R664" s="19"/>
      <c r="S664" s="19"/>
      <c r="T664" s="19"/>
      <c r="U664" s="19"/>
      <c r="V664" s="19"/>
      <c r="W664" s="20"/>
      <c r="X664" s="19"/>
      <c r="Y664" s="21"/>
      <c r="Z664" s="21"/>
      <c r="AA664" s="21"/>
      <c r="AB664" s="21"/>
      <c r="AC664" s="20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</row>
    <row r="665" spans="1:44" ht="15.6" x14ac:dyDescent="0.3">
      <c r="A665" s="19"/>
      <c r="B665" s="19"/>
      <c r="C665" s="20"/>
      <c r="D665" s="19"/>
      <c r="E665" s="20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20"/>
      <c r="Q665" s="19"/>
      <c r="R665" s="19"/>
      <c r="S665" s="19"/>
      <c r="T665" s="19"/>
      <c r="U665" s="19"/>
      <c r="V665" s="19"/>
      <c r="W665" s="20"/>
      <c r="X665" s="19"/>
      <c r="Y665" s="21"/>
      <c r="Z665" s="21"/>
      <c r="AA665" s="21"/>
      <c r="AB665" s="21"/>
      <c r="AC665" s="20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</row>
    <row r="666" spans="1:44" ht="15.6" x14ac:dyDescent="0.3">
      <c r="A666" s="19"/>
      <c r="B666" s="19"/>
      <c r="C666" s="20"/>
      <c r="D666" s="19"/>
      <c r="E666" s="20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20"/>
      <c r="Q666" s="19"/>
      <c r="R666" s="19"/>
      <c r="S666" s="19"/>
      <c r="T666" s="19"/>
      <c r="U666" s="19"/>
      <c r="V666" s="19"/>
      <c r="W666" s="20"/>
      <c r="X666" s="19"/>
      <c r="Y666" s="21"/>
      <c r="Z666" s="21"/>
      <c r="AA666" s="21"/>
      <c r="AB666" s="21"/>
      <c r="AC666" s="20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</row>
    <row r="667" spans="1:44" ht="15.6" x14ac:dyDescent="0.3">
      <c r="A667" s="19"/>
      <c r="B667" s="19"/>
      <c r="C667" s="20"/>
      <c r="D667" s="19"/>
      <c r="E667" s="20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20"/>
      <c r="Q667" s="19"/>
      <c r="R667" s="19"/>
      <c r="S667" s="19"/>
      <c r="T667" s="19"/>
      <c r="U667" s="19"/>
      <c r="V667" s="19"/>
      <c r="W667" s="20"/>
      <c r="X667" s="19"/>
      <c r="Y667" s="21"/>
      <c r="Z667" s="21"/>
      <c r="AA667" s="21"/>
      <c r="AB667" s="21"/>
      <c r="AC667" s="20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</row>
    <row r="668" spans="1:44" ht="15.6" x14ac:dyDescent="0.3">
      <c r="A668" s="19"/>
      <c r="B668" s="19"/>
      <c r="C668" s="20"/>
      <c r="D668" s="19"/>
      <c r="E668" s="20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20"/>
      <c r="Q668" s="19"/>
      <c r="R668" s="19"/>
      <c r="S668" s="19"/>
      <c r="T668" s="19"/>
      <c r="U668" s="19"/>
      <c r="V668" s="19"/>
      <c r="W668" s="20"/>
      <c r="X668" s="19"/>
      <c r="Y668" s="21"/>
      <c r="Z668" s="21"/>
      <c r="AA668" s="21"/>
      <c r="AB668" s="21"/>
      <c r="AC668" s="20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</row>
    <row r="669" spans="1:44" ht="15.6" x14ac:dyDescent="0.3">
      <c r="A669" s="19"/>
      <c r="B669" s="19"/>
      <c r="C669" s="20"/>
      <c r="D669" s="19"/>
      <c r="E669" s="20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20"/>
      <c r="Q669" s="19"/>
      <c r="R669" s="19"/>
      <c r="S669" s="19"/>
      <c r="T669" s="19"/>
      <c r="U669" s="19"/>
      <c r="V669" s="19"/>
      <c r="W669" s="20"/>
      <c r="X669" s="19"/>
      <c r="Y669" s="21"/>
      <c r="Z669" s="21"/>
      <c r="AA669" s="21"/>
      <c r="AB669" s="21"/>
      <c r="AC669" s="20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</row>
    <row r="670" spans="1:44" ht="15.6" x14ac:dyDescent="0.3">
      <c r="A670" s="19"/>
      <c r="B670" s="19"/>
      <c r="C670" s="20"/>
      <c r="D670" s="19"/>
      <c r="E670" s="20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20"/>
      <c r="Q670" s="19"/>
      <c r="R670" s="19"/>
      <c r="S670" s="19"/>
      <c r="T670" s="19"/>
      <c r="U670" s="19"/>
      <c r="V670" s="19"/>
      <c r="W670" s="20"/>
      <c r="X670" s="19"/>
      <c r="Y670" s="21"/>
      <c r="Z670" s="21"/>
      <c r="AA670" s="21"/>
      <c r="AB670" s="21"/>
      <c r="AC670" s="20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</row>
    <row r="671" spans="1:44" ht="15.6" x14ac:dyDescent="0.3">
      <c r="A671" s="19"/>
      <c r="B671" s="19"/>
      <c r="C671" s="20"/>
      <c r="D671" s="19"/>
      <c r="E671" s="20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20"/>
      <c r="Q671" s="19"/>
      <c r="R671" s="19"/>
      <c r="S671" s="19"/>
      <c r="T671" s="19"/>
      <c r="U671" s="19"/>
      <c r="V671" s="19"/>
      <c r="W671" s="20"/>
      <c r="X671" s="19"/>
      <c r="Y671" s="21"/>
      <c r="Z671" s="21"/>
      <c r="AA671" s="21"/>
      <c r="AB671" s="21"/>
      <c r="AC671" s="20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</row>
    <row r="672" spans="1:44" ht="15.6" x14ac:dyDescent="0.3">
      <c r="A672" s="19"/>
      <c r="B672" s="19"/>
      <c r="C672" s="20"/>
      <c r="D672" s="19"/>
      <c r="E672" s="20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20"/>
      <c r="Q672" s="19"/>
      <c r="R672" s="19"/>
      <c r="S672" s="19"/>
      <c r="T672" s="19"/>
      <c r="U672" s="19"/>
      <c r="V672" s="19"/>
      <c r="W672" s="20"/>
      <c r="X672" s="19"/>
      <c r="Y672" s="21"/>
      <c r="Z672" s="21"/>
      <c r="AA672" s="21"/>
      <c r="AB672" s="21"/>
      <c r="AC672" s="20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</row>
    <row r="673" spans="1:44" ht="15.6" x14ac:dyDescent="0.3">
      <c r="A673" s="19"/>
      <c r="B673" s="19"/>
      <c r="C673" s="20"/>
      <c r="D673" s="19"/>
      <c r="E673" s="20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20"/>
      <c r="Q673" s="19"/>
      <c r="R673" s="19"/>
      <c r="S673" s="19"/>
      <c r="T673" s="19"/>
      <c r="U673" s="19"/>
      <c r="V673" s="19"/>
      <c r="W673" s="20"/>
      <c r="X673" s="19"/>
      <c r="Y673" s="21"/>
      <c r="Z673" s="21"/>
      <c r="AA673" s="21"/>
      <c r="AB673" s="21"/>
      <c r="AC673" s="20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</row>
    <row r="674" spans="1:44" ht="15.6" x14ac:dyDescent="0.3">
      <c r="A674" s="19"/>
      <c r="B674" s="19"/>
      <c r="C674" s="20"/>
      <c r="D674" s="19"/>
      <c r="E674" s="20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20"/>
      <c r="Q674" s="19"/>
      <c r="R674" s="19"/>
      <c r="S674" s="19"/>
      <c r="T674" s="19"/>
      <c r="U674" s="19"/>
      <c r="V674" s="19"/>
      <c r="W674" s="20"/>
      <c r="X674" s="19"/>
      <c r="Y674" s="21"/>
      <c r="Z674" s="21"/>
      <c r="AA674" s="21"/>
      <c r="AB674" s="21"/>
      <c r="AC674" s="20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</row>
    <row r="675" spans="1:44" ht="15.6" x14ac:dyDescent="0.3">
      <c r="A675" s="19"/>
      <c r="B675" s="19"/>
      <c r="C675" s="20"/>
      <c r="D675" s="19"/>
      <c r="E675" s="20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20"/>
      <c r="Q675" s="19"/>
      <c r="R675" s="19"/>
      <c r="S675" s="19"/>
      <c r="T675" s="19"/>
      <c r="U675" s="19"/>
      <c r="V675" s="19"/>
      <c r="W675" s="20"/>
      <c r="X675" s="19"/>
      <c r="Y675" s="21"/>
      <c r="Z675" s="21"/>
      <c r="AA675" s="21"/>
      <c r="AB675" s="21"/>
      <c r="AC675" s="20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</row>
    <row r="676" spans="1:44" ht="15.6" x14ac:dyDescent="0.3">
      <c r="A676" s="19"/>
      <c r="B676" s="19"/>
      <c r="C676" s="20"/>
      <c r="D676" s="19"/>
      <c r="E676" s="20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20"/>
      <c r="Q676" s="19"/>
      <c r="R676" s="19"/>
      <c r="S676" s="19"/>
      <c r="T676" s="19"/>
      <c r="U676" s="19"/>
      <c r="V676" s="19"/>
      <c r="W676" s="20"/>
      <c r="X676" s="19"/>
      <c r="Y676" s="21"/>
      <c r="Z676" s="21"/>
      <c r="AA676" s="21"/>
      <c r="AB676" s="21"/>
      <c r="AC676" s="20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</row>
    <row r="677" spans="1:44" ht="15.6" x14ac:dyDescent="0.3">
      <c r="A677" s="19"/>
      <c r="B677" s="19"/>
      <c r="C677" s="20"/>
      <c r="D677" s="19"/>
      <c r="E677" s="20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20"/>
      <c r="Q677" s="19"/>
      <c r="R677" s="19"/>
      <c r="S677" s="19"/>
      <c r="T677" s="19"/>
      <c r="U677" s="19"/>
      <c r="V677" s="19"/>
      <c r="W677" s="20"/>
      <c r="X677" s="19"/>
      <c r="Y677" s="21"/>
      <c r="Z677" s="21"/>
      <c r="AA677" s="21"/>
      <c r="AB677" s="21"/>
      <c r="AC677" s="20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</row>
    <row r="678" spans="1:44" ht="15.6" x14ac:dyDescent="0.3">
      <c r="A678" s="19"/>
      <c r="B678" s="19"/>
      <c r="C678" s="20"/>
      <c r="D678" s="19"/>
      <c r="E678" s="20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20"/>
      <c r="Q678" s="19"/>
      <c r="R678" s="19"/>
      <c r="S678" s="19"/>
      <c r="T678" s="19"/>
      <c r="U678" s="19"/>
      <c r="V678" s="19"/>
      <c r="W678" s="20"/>
      <c r="X678" s="19"/>
      <c r="Y678" s="21"/>
      <c r="Z678" s="21"/>
      <c r="AA678" s="21"/>
      <c r="AB678" s="21"/>
      <c r="AC678" s="20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</row>
    <row r="679" spans="1:44" ht="15.6" x14ac:dyDescent="0.3">
      <c r="A679" s="19"/>
      <c r="B679" s="19"/>
      <c r="C679" s="20"/>
      <c r="D679" s="19"/>
      <c r="E679" s="20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20"/>
      <c r="Q679" s="19"/>
      <c r="R679" s="19"/>
      <c r="S679" s="19"/>
      <c r="T679" s="19"/>
      <c r="U679" s="19"/>
      <c r="V679" s="19"/>
      <c r="W679" s="20"/>
      <c r="X679" s="19"/>
      <c r="Y679" s="21"/>
      <c r="Z679" s="21"/>
      <c r="AA679" s="21"/>
      <c r="AB679" s="21"/>
      <c r="AC679" s="20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</row>
    <row r="680" spans="1:44" ht="15.6" x14ac:dyDescent="0.3">
      <c r="A680" s="19"/>
      <c r="B680" s="19"/>
      <c r="C680" s="20"/>
      <c r="D680" s="19"/>
      <c r="E680" s="20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20"/>
      <c r="Q680" s="19"/>
      <c r="R680" s="19"/>
      <c r="S680" s="19"/>
      <c r="T680" s="19"/>
      <c r="U680" s="19"/>
      <c r="V680" s="19"/>
      <c r="W680" s="20"/>
      <c r="X680" s="19"/>
      <c r="Y680" s="21"/>
      <c r="Z680" s="21"/>
      <c r="AA680" s="21"/>
      <c r="AB680" s="21"/>
      <c r="AC680" s="20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</row>
    <row r="681" spans="1:44" ht="15.6" x14ac:dyDescent="0.3">
      <c r="A681" s="19"/>
      <c r="B681" s="19"/>
      <c r="C681" s="20"/>
      <c r="D681" s="19"/>
      <c r="E681" s="20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20"/>
      <c r="Q681" s="19"/>
      <c r="R681" s="19"/>
      <c r="S681" s="19"/>
      <c r="T681" s="19"/>
      <c r="U681" s="19"/>
      <c r="V681" s="19"/>
      <c r="W681" s="20"/>
      <c r="X681" s="19"/>
      <c r="Y681" s="21"/>
      <c r="Z681" s="21"/>
      <c r="AA681" s="21"/>
      <c r="AB681" s="21"/>
      <c r="AC681" s="20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</row>
    <row r="682" spans="1:44" ht="15.6" x14ac:dyDescent="0.3">
      <c r="A682" s="19"/>
      <c r="B682" s="19"/>
      <c r="C682" s="20"/>
      <c r="D682" s="19"/>
      <c r="E682" s="20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20"/>
      <c r="Q682" s="19"/>
      <c r="R682" s="19"/>
      <c r="S682" s="19"/>
      <c r="T682" s="19"/>
      <c r="U682" s="19"/>
      <c r="V682" s="19"/>
      <c r="W682" s="20"/>
      <c r="X682" s="19"/>
      <c r="Y682" s="21"/>
      <c r="Z682" s="21"/>
      <c r="AA682" s="21"/>
      <c r="AB682" s="21"/>
      <c r="AC682" s="20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</row>
    <row r="683" spans="1:44" ht="15.6" x14ac:dyDescent="0.3">
      <c r="A683" s="19"/>
      <c r="B683" s="19"/>
      <c r="C683" s="20"/>
      <c r="D683" s="19"/>
      <c r="E683" s="20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20"/>
      <c r="Q683" s="19"/>
      <c r="R683" s="19"/>
      <c r="S683" s="19"/>
      <c r="T683" s="19"/>
      <c r="U683" s="19"/>
      <c r="V683" s="19"/>
      <c r="W683" s="20"/>
      <c r="X683" s="19"/>
      <c r="Y683" s="21"/>
      <c r="Z683" s="21"/>
      <c r="AA683" s="21"/>
      <c r="AB683" s="21"/>
      <c r="AC683" s="20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</row>
    <row r="684" spans="1:44" ht="15.6" x14ac:dyDescent="0.3">
      <c r="A684" s="19"/>
      <c r="B684" s="19"/>
      <c r="C684" s="20"/>
      <c r="D684" s="19"/>
      <c r="E684" s="20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20"/>
      <c r="Q684" s="19"/>
      <c r="R684" s="19"/>
      <c r="S684" s="19"/>
      <c r="T684" s="19"/>
      <c r="U684" s="19"/>
      <c r="V684" s="19"/>
      <c r="W684" s="20"/>
      <c r="X684" s="19"/>
      <c r="Y684" s="21"/>
      <c r="Z684" s="21"/>
      <c r="AA684" s="21"/>
      <c r="AB684" s="21"/>
      <c r="AC684" s="20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</row>
    <row r="685" spans="1:44" ht="15.6" x14ac:dyDescent="0.3">
      <c r="A685" s="19"/>
      <c r="B685" s="19"/>
      <c r="C685" s="20"/>
      <c r="D685" s="19"/>
      <c r="E685" s="20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20"/>
      <c r="Q685" s="19"/>
      <c r="R685" s="19"/>
      <c r="S685" s="19"/>
      <c r="T685" s="19"/>
      <c r="U685" s="19"/>
      <c r="V685" s="19"/>
      <c r="W685" s="20"/>
      <c r="X685" s="19"/>
      <c r="Y685" s="21"/>
      <c r="Z685" s="21"/>
      <c r="AA685" s="21"/>
      <c r="AB685" s="21"/>
      <c r="AC685" s="20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</row>
    <row r="686" spans="1:44" ht="15.6" x14ac:dyDescent="0.3">
      <c r="A686" s="19"/>
      <c r="B686" s="19"/>
      <c r="C686" s="20"/>
      <c r="D686" s="19"/>
      <c r="E686" s="20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20"/>
      <c r="Q686" s="19"/>
      <c r="R686" s="19"/>
      <c r="S686" s="19"/>
      <c r="T686" s="19"/>
      <c r="U686" s="19"/>
      <c r="V686" s="19"/>
      <c r="W686" s="20"/>
      <c r="X686" s="19"/>
      <c r="Y686" s="21"/>
      <c r="Z686" s="21"/>
      <c r="AA686" s="21"/>
      <c r="AB686" s="21"/>
      <c r="AC686" s="20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</row>
    <row r="687" spans="1:44" ht="15.6" x14ac:dyDescent="0.3">
      <c r="A687" s="19"/>
      <c r="B687" s="19"/>
      <c r="C687" s="20"/>
      <c r="D687" s="19"/>
      <c r="E687" s="20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20"/>
      <c r="Q687" s="19"/>
      <c r="R687" s="19"/>
      <c r="S687" s="19"/>
      <c r="T687" s="19"/>
      <c r="U687" s="19"/>
      <c r="V687" s="19"/>
      <c r="W687" s="20"/>
      <c r="X687" s="19"/>
      <c r="Y687" s="21"/>
      <c r="Z687" s="21"/>
      <c r="AA687" s="21"/>
      <c r="AB687" s="21"/>
      <c r="AC687" s="20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</row>
    <row r="688" spans="1:44" ht="15.6" x14ac:dyDescent="0.3">
      <c r="A688" s="19"/>
      <c r="B688" s="19"/>
      <c r="C688" s="20"/>
      <c r="D688" s="19"/>
      <c r="E688" s="20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20"/>
      <c r="Q688" s="19"/>
      <c r="R688" s="19"/>
      <c r="S688" s="19"/>
      <c r="T688" s="19"/>
      <c r="U688" s="19"/>
      <c r="V688" s="19"/>
      <c r="W688" s="20"/>
      <c r="X688" s="19"/>
      <c r="Y688" s="21"/>
      <c r="Z688" s="21"/>
      <c r="AA688" s="21"/>
      <c r="AB688" s="21"/>
      <c r="AC688" s="20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</row>
    <row r="689" spans="1:44" ht="15.6" x14ac:dyDescent="0.3">
      <c r="A689" s="19"/>
      <c r="B689" s="19"/>
      <c r="C689" s="20"/>
      <c r="D689" s="19"/>
      <c r="E689" s="20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20"/>
      <c r="Q689" s="19"/>
      <c r="R689" s="19"/>
      <c r="S689" s="19"/>
      <c r="T689" s="19"/>
      <c r="U689" s="19"/>
      <c r="V689" s="19"/>
      <c r="W689" s="20"/>
      <c r="X689" s="19"/>
      <c r="Y689" s="21"/>
      <c r="Z689" s="21"/>
      <c r="AA689" s="21"/>
      <c r="AB689" s="21"/>
      <c r="AC689" s="20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</row>
    <row r="690" spans="1:44" ht="15.6" x14ac:dyDescent="0.3">
      <c r="A690" s="19"/>
      <c r="B690" s="19"/>
      <c r="C690" s="20"/>
      <c r="D690" s="19"/>
      <c r="E690" s="20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20"/>
      <c r="Q690" s="19"/>
      <c r="R690" s="19"/>
      <c r="S690" s="19"/>
      <c r="T690" s="19"/>
      <c r="U690" s="19"/>
      <c r="V690" s="19"/>
      <c r="W690" s="20"/>
      <c r="X690" s="19"/>
      <c r="Y690" s="21"/>
      <c r="Z690" s="21"/>
      <c r="AA690" s="21"/>
      <c r="AB690" s="21"/>
      <c r="AC690" s="20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</row>
    <row r="691" spans="1:44" ht="15.6" x14ac:dyDescent="0.3">
      <c r="A691" s="19"/>
      <c r="B691" s="19"/>
      <c r="C691" s="20"/>
      <c r="D691" s="19"/>
      <c r="E691" s="20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20"/>
      <c r="Q691" s="19"/>
      <c r="R691" s="19"/>
      <c r="S691" s="19"/>
      <c r="T691" s="19"/>
      <c r="U691" s="19"/>
      <c r="V691" s="19"/>
      <c r="W691" s="20"/>
      <c r="X691" s="19"/>
      <c r="Y691" s="21"/>
      <c r="Z691" s="21"/>
      <c r="AA691" s="21"/>
      <c r="AB691" s="21"/>
      <c r="AC691" s="20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</row>
    <row r="692" spans="1:44" ht="15.6" x14ac:dyDescent="0.3">
      <c r="A692" s="19"/>
      <c r="B692" s="19"/>
      <c r="C692" s="20"/>
      <c r="D692" s="19"/>
      <c r="E692" s="20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20"/>
      <c r="Q692" s="19"/>
      <c r="R692" s="19"/>
      <c r="S692" s="19"/>
      <c r="T692" s="19"/>
      <c r="U692" s="19"/>
      <c r="V692" s="19"/>
      <c r="W692" s="20"/>
      <c r="X692" s="19"/>
      <c r="Y692" s="21"/>
      <c r="Z692" s="21"/>
      <c r="AA692" s="21"/>
      <c r="AB692" s="21"/>
      <c r="AC692" s="20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</row>
    <row r="693" spans="1:44" ht="15.6" x14ac:dyDescent="0.3">
      <c r="A693" s="19"/>
      <c r="B693" s="19"/>
      <c r="C693" s="20"/>
      <c r="D693" s="19"/>
      <c r="E693" s="20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20"/>
      <c r="Q693" s="19"/>
      <c r="R693" s="19"/>
      <c r="S693" s="19"/>
      <c r="T693" s="19"/>
      <c r="U693" s="19"/>
      <c r="V693" s="19"/>
      <c r="W693" s="20"/>
      <c r="X693" s="19"/>
      <c r="Y693" s="21"/>
      <c r="Z693" s="21"/>
      <c r="AA693" s="21"/>
      <c r="AB693" s="21"/>
      <c r="AC693" s="20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</row>
    <row r="694" spans="1:44" ht="15.6" x14ac:dyDescent="0.3">
      <c r="A694" s="19"/>
      <c r="B694" s="19"/>
      <c r="C694" s="20"/>
      <c r="D694" s="19"/>
      <c r="E694" s="20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20"/>
      <c r="Q694" s="19"/>
      <c r="R694" s="19"/>
      <c r="S694" s="19"/>
      <c r="T694" s="19"/>
      <c r="U694" s="19"/>
      <c r="V694" s="19"/>
      <c r="W694" s="20"/>
      <c r="X694" s="19"/>
      <c r="Y694" s="21"/>
      <c r="Z694" s="21"/>
      <c r="AA694" s="21"/>
      <c r="AB694" s="21"/>
      <c r="AC694" s="20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</row>
    <row r="695" spans="1:44" ht="15.6" x14ac:dyDescent="0.3">
      <c r="A695" s="19"/>
      <c r="B695" s="19"/>
      <c r="C695" s="20"/>
      <c r="D695" s="19"/>
      <c r="E695" s="20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20"/>
      <c r="Q695" s="19"/>
      <c r="R695" s="19"/>
      <c r="S695" s="19"/>
      <c r="T695" s="19"/>
      <c r="U695" s="19"/>
      <c r="V695" s="19"/>
      <c r="W695" s="20"/>
      <c r="X695" s="19"/>
      <c r="Y695" s="21"/>
      <c r="Z695" s="21"/>
      <c r="AA695" s="21"/>
      <c r="AB695" s="21"/>
      <c r="AC695" s="20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</row>
    <row r="696" spans="1:44" ht="15.6" x14ac:dyDescent="0.3">
      <c r="A696" s="19"/>
      <c r="B696" s="19"/>
      <c r="C696" s="20"/>
      <c r="D696" s="19"/>
      <c r="E696" s="20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20"/>
      <c r="Q696" s="19"/>
      <c r="R696" s="19"/>
      <c r="S696" s="19"/>
      <c r="T696" s="19"/>
      <c r="U696" s="19"/>
      <c r="V696" s="19"/>
      <c r="W696" s="20"/>
      <c r="X696" s="19"/>
      <c r="Y696" s="21"/>
      <c r="Z696" s="21"/>
      <c r="AA696" s="21"/>
      <c r="AB696" s="21"/>
      <c r="AC696" s="20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</row>
    <row r="697" spans="1:44" ht="15.6" x14ac:dyDescent="0.3">
      <c r="A697" s="19"/>
      <c r="B697" s="19"/>
      <c r="C697" s="20"/>
      <c r="D697" s="19"/>
      <c r="E697" s="20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20"/>
      <c r="Q697" s="19"/>
      <c r="R697" s="19"/>
      <c r="S697" s="19"/>
      <c r="T697" s="19"/>
      <c r="U697" s="19"/>
      <c r="V697" s="19"/>
      <c r="W697" s="20"/>
      <c r="X697" s="19"/>
      <c r="Y697" s="21"/>
      <c r="Z697" s="21"/>
      <c r="AA697" s="21"/>
      <c r="AB697" s="21"/>
      <c r="AC697" s="20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</row>
    <row r="698" spans="1:44" ht="15.6" x14ac:dyDescent="0.3">
      <c r="A698" s="19"/>
      <c r="B698" s="19"/>
      <c r="C698" s="20"/>
      <c r="D698" s="19"/>
      <c r="E698" s="20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20"/>
      <c r="Q698" s="19"/>
      <c r="R698" s="19"/>
      <c r="S698" s="19"/>
      <c r="T698" s="19"/>
      <c r="U698" s="19"/>
      <c r="V698" s="19"/>
      <c r="W698" s="20"/>
      <c r="X698" s="19"/>
      <c r="Y698" s="21"/>
      <c r="Z698" s="21"/>
      <c r="AA698" s="21"/>
      <c r="AB698" s="21"/>
      <c r="AC698" s="20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</row>
    <row r="699" spans="1:44" ht="15.6" x14ac:dyDescent="0.3">
      <c r="A699" s="19"/>
      <c r="B699" s="19"/>
      <c r="C699" s="20"/>
      <c r="D699" s="19"/>
      <c r="E699" s="20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20"/>
      <c r="Q699" s="19"/>
      <c r="R699" s="19"/>
      <c r="S699" s="19"/>
      <c r="T699" s="19"/>
      <c r="U699" s="19"/>
      <c r="V699" s="19"/>
      <c r="W699" s="20"/>
      <c r="X699" s="19"/>
      <c r="Y699" s="21"/>
      <c r="Z699" s="21"/>
      <c r="AA699" s="21"/>
      <c r="AB699" s="21"/>
      <c r="AC699" s="20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</row>
    <row r="700" spans="1:44" ht="15.6" x14ac:dyDescent="0.3">
      <c r="A700" s="19"/>
      <c r="B700" s="19"/>
      <c r="C700" s="20"/>
      <c r="D700" s="19"/>
      <c r="E700" s="20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20"/>
      <c r="Q700" s="19"/>
      <c r="R700" s="19"/>
      <c r="S700" s="19"/>
      <c r="T700" s="19"/>
      <c r="U700" s="19"/>
      <c r="V700" s="19"/>
      <c r="W700" s="20"/>
      <c r="X700" s="19"/>
      <c r="Y700" s="21"/>
      <c r="Z700" s="21"/>
      <c r="AA700" s="21"/>
      <c r="AB700" s="21"/>
      <c r="AC700" s="20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</row>
    <row r="701" spans="1:44" ht="15.6" x14ac:dyDescent="0.3">
      <c r="A701" s="19"/>
      <c r="B701" s="19"/>
      <c r="C701" s="20"/>
      <c r="D701" s="19"/>
      <c r="E701" s="20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20"/>
      <c r="Q701" s="19"/>
      <c r="R701" s="19"/>
      <c r="S701" s="19"/>
      <c r="T701" s="19"/>
      <c r="U701" s="19"/>
      <c r="V701" s="19"/>
      <c r="W701" s="20"/>
      <c r="X701" s="19"/>
      <c r="Y701" s="21"/>
      <c r="Z701" s="21"/>
      <c r="AA701" s="21"/>
      <c r="AB701" s="21"/>
      <c r="AC701" s="20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</row>
    <row r="702" spans="1:44" ht="15.6" x14ac:dyDescent="0.3">
      <c r="A702" s="19"/>
      <c r="B702" s="19"/>
      <c r="C702" s="20"/>
      <c r="D702" s="19"/>
      <c r="E702" s="20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20"/>
      <c r="Q702" s="19"/>
      <c r="R702" s="19"/>
      <c r="S702" s="19"/>
      <c r="T702" s="19"/>
      <c r="U702" s="19"/>
      <c r="V702" s="19"/>
      <c r="W702" s="20"/>
      <c r="X702" s="19"/>
      <c r="Y702" s="21"/>
      <c r="Z702" s="21"/>
      <c r="AA702" s="21"/>
      <c r="AB702" s="21"/>
      <c r="AC702" s="20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</row>
    <row r="703" spans="1:44" ht="15.6" x14ac:dyDescent="0.3">
      <c r="A703" s="19"/>
      <c r="B703" s="19"/>
      <c r="C703" s="20"/>
      <c r="D703" s="19"/>
      <c r="E703" s="20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20"/>
      <c r="Q703" s="19"/>
      <c r="R703" s="19"/>
      <c r="S703" s="19"/>
      <c r="T703" s="19"/>
      <c r="U703" s="19"/>
      <c r="V703" s="19"/>
      <c r="W703" s="20"/>
      <c r="X703" s="19"/>
      <c r="Y703" s="21"/>
      <c r="Z703" s="21"/>
      <c r="AA703" s="21"/>
      <c r="AB703" s="21"/>
      <c r="AC703" s="20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</row>
    <row r="704" spans="1:44" ht="15.6" x14ac:dyDescent="0.3">
      <c r="A704" s="19"/>
      <c r="B704" s="19"/>
      <c r="C704" s="20"/>
      <c r="D704" s="19"/>
      <c r="E704" s="20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20"/>
      <c r="Q704" s="19"/>
      <c r="R704" s="19"/>
      <c r="S704" s="19"/>
      <c r="T704" s="19"/>
      <c r="U704" s="19"/>
      <c r="V704" s="19"/>
      <c r="W704" s="20"/>
      <c r="X704" s="19"/>
      <c r="Y704" s="21"/>
      <c r="Z704" s="21"/>
      <c r="AA704" s="21"/>
      <c r="AB704" s="21"/>
      <c r="AC704" s="20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</row>
    <row r="705" spans="1:44" ht="15.6" x14ac:dyDescent="0.3">
      <c r="A705" s="19"/>
      <c r="B705" s="19"/>
      <c r="C705" s="20"/>
      <c r="D705" s="19"/>
      <c r="E705" s="20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20"/>
      <c r="Q705" s="19"/>
      <c r="R705" s="19"/>
      <c r="S705" s="19"/>
      <c r="T705" s="19"/>
      <c r="U705" s="19"/>
      <c r="V705" s="19"/>
      <c r="W705" s="20"/>
      <c r="X705" s="19"/>
      <c r="Y705" s="21"/>
      <c r="Z705" s="21"/>
      <c r="AA705" s="21"/>
      <c r="AB705" s="21"/>
      <c r="AC705" s="20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</row>
    <row r="706" spans="1:44" ht="15.6" x14ac:dyDescent="0.3">
      <c r="A706" s="19"/>
      <c r="B706" s="19"/>
      <c r="C706" s="20"/>
      <c r="D706" s="19"/>
      <c r="E706" s="20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20"/>
      <c r="Q706" s="19"/>
      <c r="R706" s="19"/>
      <c r="S706" s="19"/>
      <c r="T706" s="19"/>
      <c r="U706" s="19"/>
      <c r="V706" s="19"/>
      <c r="W706" s="20"/>
      <c r="X706" s="19"/>
      <c r="Y706" s="21"/>
      <c r="Z706" s="21"/>
      <c r="AA706" s="21"/>
      <c r="AB706" s="21"/>
      <c r="AC706" s="20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</row>
    <row r="707" spans="1:44" ht="15.6" x14ac:dyDescent="0.3">
      <c r="A707" s="19"/>
      <c r="B707" s="19"/>
      <c r="C707" s="20"/>
      <c r="D707" s="19"/>
      <c r="E707" s="20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20"/>
      <c r="Q707" s="19"/>
      <c r="R707" s="19"/>
      <c r="S707" s="19"/>
      <c r="T707" s="19"/>
      <c r="U707" s="19"/>
      <c r="V707" s="19"/>
      <c r="W707" s="20"/>
      <c r="X707" s="19"/>
      <c r="Y707" s="21"/>
      <c r="Z707" s="21"/>
      <c r="AA707" s="21"/>
      <c r="AB707" s="21"/>
      <c r="AC707" s="20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</row>
    <row r="708" spans="1:44" ht="15.6" x14ac:dyDescent="0.3">
      <c r="A708" s="19"/>
      <c r="B708" s="19"/>
      <c r="C708" s="20"/>
      <c r="D708" s="19"/>
      <c r="E708" s="20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20"/>
      <c r="Q708" s="19"/>
      <c r="R708" s="19"/>
      <c r="S708" s="19"/>
      <c r="T708" s="19"/>
      <c r="U708" s="19"/>
      <c r="V708" s="19"/>
      <c r="W708" s="20"/>
      <c r="X708" s="19"/>
      <c r="Y708" s="21"/>
      <c r="Z708" s="21"/>
      <c r="AA708" s="21"/>
      <c r="AB708" s="21"/>
      <c r="AC708" s="20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</row>
    <row r="709" spans="1:44" ht="15.6" x14ac:dyDescent="0.3">
      <c r="A709" s="19"/>
      <c r="B709" s="19"/>
      <c r="C709" s="20"/>
      <c r="D709" s="19"/>
      <c r="E709" s="20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20"/>
      <c r="Q709" s="19"/>
      <c r="R709" s="19"/>
      <c r="S709" s="19"/>
      <c r="T709" s="19"/>
      <c r="U709" s="19"/>
      <c r="V709" s="19"/>
      <c r="W709" s="20"/>
      <c r="X709" s="19"/>
      <c r="Y709" s="21"/>
      <c r="Z709" s="21"/>
      <c r="AA709" s="21"/>
      <c r="AB709" s="21"/>
      <c r="AC709" s="20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</row>
    <row r="710" spans="1:44" ht="15.6" x14ac:dyDescent="0.3">
      <c r="A710" s="19"/>
      <c r="B710" s="19"/>
      <c r="C710" s="20"/>
      <c r="D710" s="19"/>
      <c r="E710" s="20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20"/>
      <c r="Q710" s="19"/>
      <c r="R710" s="19"/>
      <c r="S710" s="19"/>
      <c r="T710" s="19"/>
      <c r="U710" s="19"/>
      <c r="V710" s="19"/>
      <c r="W710" s="20"/>
      <c r="X710" s="19"/>
      <c r="Y710" s="21"/>
      <c r="Z710" s="21"/>
      <c r="AA710" s="21"/>
      <c r="AB710" s="21"/>
      <c r="AC710" s="20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</row>
    <row r="711" spans="1:44" ht="15.6" x14ac:dyDescent="0.3">
      <c r="A711" s="19"/>
      <c r="B711" s="19"/>
      <c r="C711" s="20"/>
      <c r="D711" s="19"/>
      <c r="E711" s="20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20"/>
      <c r="Q711" s="19"/>
      <c r="R711" s="19"/>
      <c r="S711" s="19"/>
      <c r="T711" s="19"/>
      <c r="U711" s="19"/>
      <c r="V711" s="19"/>
      <c r="W711" s="20"/>
      <c r="X711" s="19"/>
      <c r="Y711" s="21"/>
      <c r="Z711" s="21"/>
      <c r="AA711" s="21"/>
      <c r="AB711" s="21"/>
      <c r="AC711" s="20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</row>
    <row r="712" spans="1:44" ht="15.6" x14ac:dyDescent="0.3">
      <c r="A712" s="19"/>
      <c r="B712" s="19"/>
      <c r="C712" s="20"/>
      <c r="D712" s="19"/>
      <c r="E712" s="20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20"/>
      <c r="Q712" s="19"/>
      <c r="R712" s="19"/>
      <c r="S712" s="19"/>
      <c r="T712" s="19"/>
      <c r="U712" s="19"/>
      <c r="V712" s="19"/>
      <c r="W712" s="20"/>
      <c r="X712" s="19"/>
      <c r="Y712" s="21"/>
      <c r="Z712" s="21"/>
      <c r="AA712" s="21"/>
      <c r="AB712" s="21"/>
      <c r="AC712" s="20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</row>
    <row r="713" spans="1:44" ht="15.6" x14ac:dyDescent="0.3">
      <c r="A713" s="19"/>
      <c r="B713" s="19"/>
      <c r="C713" s="20"/>
      <c r="D713" s="19"/>
      <c r="E713" s="20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20"/>
      <c r="Q713" s="19"/>
      <c r="R713" s="19"/>
      <c r="S713" s="19"/>
      <c r="T713" s="19"/>
      <c r="U713" s="19"/>
      <c r="V713" s="19"/>
      <c r="W713" s="20"/>
      <c r="X713" s="19"/>
      <c r="Y713" s="21"/>
      <c r="Z713" s="21"/>
      <c r="AA713" s="21"/>
      <c r="AB713" s="21"/>
      <c r="AC713" s="20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</row>
    <row r="714" spans="1:44" ht="15.6" x14ac:dyDescent="0.3">
      <c r="A714" s="19"/>
      <c r="B714" s="19"/>
      <c r="C714" s="20"/>
      <c r="D714" s="19"/>
      <c r="E714" s="20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20"/>
      <c r="Q714" s="19"/>
      <c r="R714" s="19"/>
      <c r="S714" s="19"/>
      <c r="T714" s="19"/>
      <c r="U714" s="19"/>
      <c r="V714" s="19"/>
      <c r="W714" s="20"/>
      <c r="X714" s="19"/>
      <c r="Y714" s="21"/>
      <c r="Z714" s="21"/>
      <c r="AA714" s="21"/>
      <c r="AB714" s="21"/>
      <c r="AC714" s="20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</row>
    <row r="715" spans="1:44" ht="15.6" x14ac:dyDescent="0.3">
      <c r="A715" s="19"/>
      <c r="B715" s="19"/>
      <c r="C715" s="20"/>
      <c r="D715" s="19"/>
      <c r="E715" s="20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20"/>
      <c r="Q715" s="19"/>
      <c r="R715" s="19"/>
      <c r="S715" s="19"/>
      <c r="T715" s="19"/>
      <c r="U715" s="19"/>
      <c r="V715" s="19"/>
      <c r="W715" s="20"/>
      <c r="X715" s="19"/>
      <c r="Y715" s="21"/>
      <c r="Z715" s="21"/>
      <c r="AA715" s="21"/>
      <c r="AB715" s="21"/>
      <c r="AC715" s="20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</row>
    <row r="716" spans="1:44" ht="15.6" x14ac:dyDescent="0.3">
      <c r="A716" s="19"/>
      <c r="B716" s="19"/>
      <c r="C716" s="20"/>
      <c r="D716" s="19"/>
      <c r="E716" s="20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20"/>
      <c r="Q716" s="19"/>
      <c r="R716" s="19"/>
      <c r="S716" s="19"/>
      <c r="T716" s="19"/>
      <c r="U716" s="19"/>
      <c r="V716" s="19"/>
      <c r="W716" s="20"/>
      <c r="X716" s="19"/>
      <c r="Y716" s="21"/>
      <c r="Z716" s="21"/>
      <c r="AA716" s="21"/>
      <c r="AB716" s="21"/>
      <c r="AC716" s="20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</row>
    <row r="717" spans="1:44" ht="15.6" x14ac:dyDescent="0.3">
      <c r="A717" s="19"/>
      <c r="B717" s="19"/>
      <c r="C717" s="20"/>
      <c r="D717" s="19"/>
      <c r="E717" s="20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20"/>
      <c r="Q717" s="19"/>
      <c r="R717" s="19"/>
      <c r="S717" s="19"/>
      <c r="T717" s="19"/>
      <c r="U717" s="19"/>
      <c r="V717" s="19"/>
      <c r="W717" s="20"/>
      <c r="X717" s="19"/>
      <c r="Y717" s="21"/>
      <c r="Z717" s="21"/>
      <c r="AA717" s="21"/>
      <c r="AB717" s="21"/>
      <c r="AC717" s="20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</row>
    <row r="718" spans="1:44" ht="15.6" x14ac:dyDescent="0.3">
      <c r="A718" s="19"/>
      <c r="B718" s="19"/>
      <c r="C718" s="20"/>
      <c r="D718" s="19"/>
      <c r="E718" s="20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20"/>
      <c r="Q718" s="19"/>
      <c r="R718" s="19"/>
      <c r="S718" s="19"/>
      <c r="T718" s="19"/>
      <c r="U718" s="19"/>
      <c r="V718" s="19"/>
      <c r="W718" s="20"/>
      <c r="X718" s="19"/>
      <c r="Y718" s="21"/>
      <c r="Z718" s="21"/>
      <c r="AA718" s="21"/>
      <c r="AB718" s="21"/>
      <c r="AC718" s="20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</row>
    <row r="719" spans="1:44" ht="15.6" x14ac:dyDescent="0.3">
      <c r="A719" s="19"/>
      <c r="B719" s="19"/>
      <c r="C719" s="20"/>
      <c r="D719" s="19"/>
      <c r="E719" s="20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20"/>
      <c r="Q719" s="19"/>
      <c r="R719" s="19"/>
      <c r="S719" s="19"/>
      <c r="T719" s="19"/>
      <c r="U719" s="19"/>
      <c r="V719" s="19"/>
      <c r="W719" s="20"/>
      <c r="X719" s="19"/>
      <c r="Y719" s="21"/>
      <c r="Z719" s="21"/>
      <c r="AA719" s="21"/>
      <c r="AB719" s="21"/>
      <c r="AC719" s="20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</row>
    <row r="720" spans="1:44" ht="15.6" x14ac:dyDescent="0.3">
      <c r="A720" s="19"/>
      <c r="B720" s="19"/>
      <c r="C720" s="20"/>
      <c r="D720" s="19"/>
      <c r="E720" s="20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20"/>
      <c r="Q720" s="19"/>
      <c r="R720" s="19"/>
      <c r="S720" s="19"/>
      <c r="T720" s="19"/>
      <c r="U720" s="19"/>
      <c r="V720" s="19"/>
      <c r="W720" s="20"/>
      <c r="X720" s="19"/>
      <c r="Y720" s="21"/>
      <c r="Z720" s="21"/>
      <c r="AA720" s="21"/>
      <c r="AB720" s="21"/>
      <c r="AC720" s="20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</row>
    <row r="721" spans="1:44" ht="15.6" x14ac:dyDescent="0.3">
      <c r="A721" s="19"/>
      <c r="B721" s="19"/>
      <c r="C721" s="20"/>
      <c r="D721" s="19"/>
      <c r="E721" s="20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20"/>
      <c r="Q721" s="19"/>
      <c r="R721" s="19"/>
      <c r="S721" s="19"/>
      <c r="T721" s="19"/>
      <c r="U721" s="19"/>
      <c r="V721" s="19"/>
      <c r="W721" s="20"/>
      <c r="X721" s="19"/>
      <c r="Y721" s="21"/>
      <c r="Z721" s="21"/>
      <c r="AA721" s="21"/>
      <c r="AB721" s="21"/>
      <c r="AC721" s="20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</row>
    <row r="722" spans="1:44" ht="15.6" x14ac:dyDescent="0.3">
      <c r="A722" s="19"/>
      <c r="B722" s="19"/>
      <c r="C722" s="20"/>
      <c r="D722" s="19"/>
      <c r="E722" s="20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20"/>
      <c r="Q722" s="19"/>
      <c r="R722" s="19"/>
      <c r="S722" s="19"/>
      <c r="T722" s="19"/>
      <c r="U722" s="19"/>
      <c r="V722" s="19"/>
      <c r="W722" s="20"/>
      <c r="X722" s="19"/>
      <c r="Y722" s="21"/>
      <c r="Z722" s="21"/>
      <c r="AA722" s="21"/>
      <c r="AB722" s="21"/>
      <c r="AC722" s="20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</row>
    <row r="723" spans="1:44" ht="15.6" x14ac:dyDescent="0.3">
      <c r="A723" s="19"/>
      <c r="B723" s="19"/>
      <c r="C723" s="20"/>
      <c r="D723" s="19"/>
      <c r="E723" s="20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20"/>
      <c r="Q723" s="19"/>
      <c r="R723" s="19"/>
      <c r="S723" s="19"/>
      <c r="T723" s="19"/>
      <c r="U723" s="19"/>
      <c r="V723" s="19"/>
      <c r="W723" s="20"/>
      <c r="X723" s="19"/>
      <c r="Y723" s="21"/>
      <c r="Z723" s="21"/>
      <c r="AA723" s="21"/>
      <c r="AB723" s="21"/>
      <c r="AC723" s="20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</row>
    <row r="724" spans="1:44" ht="15.6" x14ac:dyDescent="0.3">
      <c r="A724" s="19"/>
      <c r="B724" s="19"/>
      <c r="C724" s="20"/>
      <c r="D724" s="19"/>
      <c r="E724" s="20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20"/>
      <c r="Q724" s="19"/>
      <c r="R724" s="19"/>
      <c r="S724" s="19"/>
      <c r="T724" s="19"/>
      <c r="U724" s="19"/>
      <c r="V724" s="19"/>
      <c r="W724" s="20"/>
      <c r="X724" s="19"/>
      <c r="Y724" s="21"/>
      <c r="Z724" s="21"/>
      <c r="AA724" s="21"/>
      <c r="AB724" s="21"/>
      <c r="AC724" s="20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</row>
    <row r="725" spans="1:44" ht="15.6" x14ac:dyDescent="0.3">
      <c r="A725" s="19"/>
      <c r="B725" s="19"/>
      <c r="C725" s="20"/>
      <c r="D725" s="19"/>
      <c r="E725" s="20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20"/>
      <c r="Q725" s="19"/>
      <c r="R725" s="19"/>
      <c r="S725" s="19"/>
      <c r="T725" s="19"/>
      <c r="U725" s="19"/>
      <c r="V725" s="19"/>
      <c r="W725" s="20"/>
      <c r="X725" s="19"/>
      <c r="Y725" s="21"/>
      <c r="Z725" s="21"/>
      <c r="AA725" s="21"/>
      <c r="AB725" s="21"/>
      <c r="AC725" s="20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</row>
    <row r="726" spans="1:44" ht="15.6" x14ac:dyDescent="0.3">
      <c r="A726" s="19"/>
      <c r="B726" s="19"/>
      <c r="C726" s="20"/>
      <c r="D726" s="19"/>
      <c r="E726" s="20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20"/>
      <c r="Q726" s="19"/>
      <c r="R726" s="19"/>
      <c r="S726" s="19"/>
      <c r="T726" s="19"/>
      <c r="U726" s="19"/>
      <c r="V726" s="19"/>
      <c r="W726" s="20"/>
      <c r="X726" s="19"/>
      <c r="Y726" s="21"/>
      <c r="Z726" s="21"/>
      <c r="AA726" s="21"/>
      <c r="AB726" s="21"/>
      <c r="AC726" s="20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</row>
    <row r="727" spans="1:44" ht="15.6" x14ac:dyDescent="0.3">
      <c r="A727" s="19"/>
      <c r="B727" s="19"/>
      <c r="C727" s="20"/>
      <c r="D727" s="19"/>
      <c r="E727" s="20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20"/>
      <c r="Q727" s="19"/>
      <c r="R727" s="19"/>
      <c r="S727" s="19"/>
      <c r="T727" s="19"/>
      <c r="U727" s="19"/>
      <c r="V727" s="19"/>
      <c r="W727" s="20"/>
      <c r="X727" s="19"/>
      <c r="Y727" s="21"/>
      <c r="Z727" s="21"/>
      <c r="AA727" s="21"/>
      <c r="AB727" s="21"/>
      <c r="AC727" s="20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</row>
    <row r="728" spans="1:44" ht="15.6" x14ac:dyDescent="0.3">
      <c r="A728" s="19"/>
      <c r="B728" s="19"/>
      <c r="C728" s="20"/>
      <c r="D728" s="19"/>
      <c r="E728" s="20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20"/>
      <c r="Q728" s="19"/>
      <c r="R728" s="19"/>
      <c r="S728" s="19"/>
      <c r="T728" s="19"/>
      <c r="U728" s="19"/>
      <c r="V728" s="19"/>
      <c r="W728" s="20"/>
      <c r="X728" s="19"/>
      <c r="Y728" s="21"/>
      <c r="Z728" s="21"/>
      <c r="AA728" s="21"/>
      <c r="AB728" s="21"/>
      <c r="AC728" s="20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</row>
    <row r="729" spans="1:44" ht="15.6" x14ac:dyDescent="0.3">
      <c r="A729" s="19"/>
      <c r="B729" s="19"/>
      <c r="C729" s="20"/>
      <c r="D729" s="19"/>
      <c r="E729" s="20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20"/>
      <c r="Q729" s="19"/>
      <c r="R729" s="19"/>
      <c r="S729" s="19"/>
      <c r="T729" s="19"/>
      <c r="U729" s="19"/>
      <c r="V729" s="19"/>
      <c r="W729" s="20"/>
      <c r="X729" s="19"/>
      <c r="Y729" s="21"/>
      <c r="Z729" s="21"/>
      <c r="AA729" s="21"/>
      <c r="AB729" s="21"/>
      <c r="AC729" s="20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</row>
    <row r="730" spans="1:44" ht="15.6" x14ac:dyDescent="0.3">
      <c r="A730" s="19"/>
      <c r="B730" s="19"/>
      <c r="C730" s="20"/>
      <c r="D730" s="19"/>
      <c r="E730" s="20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20"/>
      <c r="Q730" s="19"/>
      <c r="R730" s="19"/>
      <c r="S730" s="19"/>
      <c r="T730" s="19"/>
      <c r="U730" s="19"/>
      <c r="V730" s="19"/>
      <c r="W730" s="20"/>
      <c r="X730" s="19"/>
      <c r="Y730" s="21"/>
      <c r="Z730" s="21"/>
      <c r="AA730" s="21"/>
      <c r="AB730" s="21"/>
      <c r="AC730" s="20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</row>
    <row r="731" spans="1:44" ht="15.6" x14ac:dyDescent="0.3">
      <c r="A731" s="19"/>
      <c r="B731" s="19"/>
      <c r="C731" s="20"/>
      <c r="D731" s="19"/>
      <c r="E731" s="20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20"/>
      <c r="Q731" s="19"/>
      <c r="R731" s="19"/>
      <c r="S731" s="19"/>
      <c r="T731" s="19"/>
      <c r="U731" s="19"/>
      <c r="V731" s="19"/>
      <c r="W731" s="20"/>
      <c r="X731" s="19"/>
      <c r="Y731" s="21"/>
      <c r="Z731" s="21"/>
      <c r="AA731" s="21"/>
      <c r="AB731" s="21"/>
      <c r="AC731" s="20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</row>
    <row r="732" spans="1:44" ht="15.6" x14ac:dyDescent="0.3">
      <c r="A732" s="19"/>
      <c r="B732" s="19"/>
      <c r="C732" s="20"/>
      <c r="D732" s="19"/>
      <c r="E732" s="20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20"/>
      <c r="Q732" s="19"/>
      <c r="R732" s="19"/>
      <c r="S732" s="19"/>
      <c r="T732" s="19"/>
      <c r="U732" s="19"/>
      <c r="V732" s="19"/>
      <c r="W732" s="20"/>
      <c r="X732" s="19"/>
      <c r="Y732" s="21"/>
      <c r="Z732" s="21"/>
      <c r="AA732" s="21"/>
      <c r="AB732" s="21"/>
      <c r="AC732" s="20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</row>
    <row r="733" spans="1:44" ht="15.6" x14ac:dyDescent="0.3">
      <c r="A733" s="19"/>
      <c r="B733" s="19"/>
      <c r="C733" s="20"/>
      <c r="D733" s="19"/>
      <c r="E733" s="20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20"/>
      <c r="Q733" s="19"/>
      <c r="R733" s="19"/>
      <c r="S733" s="19"/>
      <c r="T733" s="19"/>
      <c r="U733" s="19"/>
      <c r="V733" s="19"/>
      <c r="W733" s="20"/>
      <c r="X733" s="19"/>
      <c r="Y733" s="21"/>
      <c r="Z733" s="21"/>
      <c r="AA733" s="21"/>
      <c r="AB733" s="21"/>
      <c r="AC733" s="20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</row>
    <row r="734" spans="1:44" ht="15.6" x14ac:dyDescent="0.3">
      <c r="A734" s="19"/>
      <c r="B734" s="19"/>
      <c r="C734" s="20"/>
      <c r="D734" s="19"/>
      <c r="E734" s="20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20"/>
      <c r="Q734" s="19"/>
      <c r="R734" s="19"/>
      <c r="S734" s="19"/>
      <c r="T734" s="19"/>
      <c r="U734" s="19"/>
      <c r="V734" s="19"/>
      <c r="W734" s="20"/>
      <c r="X734" s="19"/>
      <c r="Y734" s="21"/>
      <c r="Z734" s="21"/>
      <c r="AA734" s="21"/>
      <c r="AB734" s="21"/>
      <c r="AC734" s="20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</row>
    <row r="735" spans="1:44" ht="15.6" x14ac:dyDescent="0.3">
      <c r="A735" s="19"/>
      <c r="B735" s="19"/>
      <c r="C735" s="20"/>
      <c r="D735" s="19"/>
      <c r="E735" s="20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20"/>
      <c r="Q735" s="19"/>
      <c r="R735" s="19"/>
      <c r="S735" s="19"/>
      <c r="T735" s="19"/>
      <c r="U735" s="19"/>
      <c r="V735" s="19"/>
      <c r="W735" s="20"/>
      <c r="X735" s="19"/>
      <c r="Y735" s="21"/>
      <c r="Z735" s="21"/>
      <c r="AA735" s="21"/>
      <c r="AB735" s="21"/>
      <c r="AC735" s="20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</row>
    <row r="736" spans="1:44" ht="15.6" x14ac:dyDescent="0.3">
      <c r="A736" s="19"/>
      <c r="B736" s="19"/>
      <c r="C736" s="20"/>
      <c r="D736" s="19"/>
      <c r="E736" s="20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20"/>
      <c r="Q736" s="19"/>
      <c r="R736" s="19"/>
      <c r="S736" s="19"/>
      <c r="T736" s="19"/>
      <c r="U736" s="19"/>
      <c r="V736" s="19"/>
      <c r="W736" s="20"/>
      <c r="X736" s="19"/>
      <c r="Y736" s="21"/>
      <c r="Z736" s="21"/>
      <c r="AA736" s="21"/>
      <c r="AB736" s="21"/>
      <c r="AC736" s="20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</row>
    <row r="737" spans="1:44" ht="15.6" x14ac:dyDescent="0.3">
      <c r="A737" s="19"/>
      <c r="B737" s="19"/>
      <c r="C737" s="20"/>
      <c r="D737" s="19"/>
      <c r="E737" s="20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20"/>
      <c r="Q737" s="19"/>
      <c r="R737" s="19"/>
      <c r="S737" s="19"/>
      <c r="T737" s="19"/>
      <c r="U737" s="19"/>
      <c r="V737" s="19"/>
      <c r="W737" s="20"/>
      <c r="X737" s="19"/>
      <c r="Y737" s="21"/>
      <c r="Z737" s="21"/>
      <c r="AA737" s="21"/>
      <c r="AB737" s="21"/>
      <c r="AC737" s="20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</row>
    <row r="738" spans="1:44" ht="15.6" x14ac:dyDescent="0.3">
      <c r="A738" s="19"/>
      <c r="B738" s="19"/>
      <c r="C738" s="20"/>
      <c r="D738" s="19"/>
      <c r="E738" s="20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20"/>
      <c r="Q738" s="19"/>
      <c r="R738" s="19"/>
      <c r="S738" s="19"/>
      <c r="T738" s="19"/>
      <c r="U738" s="19"/>
      <c r="V738" s="19"/>
      <c r="W738" s="20"/>
      <c r="X738" s="19"/>
      <c r="Y738" s="21"/>
      <c r="Z738" s="21"/>
      <c r="AA738" s="21"/>
      <c r="AB738" s="21"/>
      <c r="AC738" s="20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</row>
    <row r="739" spans="1:44" ht="15.6" x14ac:dyDescent="0.3">
      <c r="A739" s="19"/>
      <c r="B739" s="19"/>
      <c r="C739" s="20"/>
      <c r="D739" s="19"/>
      <c r="E739" s="20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20"/>
      <c r="Q739" s="19"/>
      <c r="R739" s="19"/>
      <c r="S739" s="19"/>
      <c r="T739" s="19"/>
      <c r="U739" s="19"/>
      <c r="V739" s="19"/>
      <c r="W739" s="20"/>
      <c r="X739" s="19"/>
      <c r="Y739" s="21"/>
      <c r="Z739" s="21"/>
      <c r="AA739" s="21"/>
      <c r="AB739" s="21"/>
      <c r="AC739" s="20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</row>
    <row r="740" spans="1:44" ht="15.6" x14ac:dyDescent="0.3">
      <c r="A740" s="19"/>
      <c r="B740" s="19"/>
      <c r="C740" s="20"/>
      <c r="D740" s="19"/>
      <c r="E740" s="20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20"/>
      <c r="Q740" s="19"/>
      <c r="R740" s="19"/>
      <c r="S740" s="19"/>
      <c r="T740" s="19"/>
      <c r="U740" s="19"/>
      <c r="V740" s="19"/>
      <c r="W740" s="20"/>
      <c r="X740" s="19"/>
      <c r="Y740" s="21"/>
      <c r="Z740" s="21"/>
      <c r="AA740" s="21"/>
      <c r="AB740" s="21"/>
      <c r="AC740" s="20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</row>
    <row r="741" spans="1:44" ht="15.6" x14ac:dyDescent="0.3">
      <c r="A741" s="19"/>
      <c r="B741" s="19"/>
      <c r="C741" s="20"/>
      <c r="D741" s="19"/>
      <c r="E741" s="20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20"/>
      <c r="Q741" s="19"/>
      <c r="R741" s="19"/>
      <c r="S741" s="19"/>
      <c r="T741" s="19"/>
      <c r="U741" s="19"/>
      <c r="V741" s="19"/>
      <c r="W741" s="20"/>
      <c r="X741" s="19"/>
      <c r="Y741" s="21"/>
      <c r="Z741" s="21"/>
      <c r="AA741" s="21"/>
      <c r="AB741" s="21"/>
      <c r="AC741" s="20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</row>
    <row r="742" spans="1:44" ht="15.6" x14ac:dyDescent="0.3">
      <c r="A742" s="19"/>
      <c r="B742" s="19"/>
      <c r="C742" s="20"/>
      <c r="D742" s="19"/>
      <c r="E742" s="20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20"/>
      <c r="Q742" s="19"/>
      <c r="R742" s="19"/>
      <c r="S742" s="19"/>
      <c r="T742" s="19"/>
      <c r="U742" s="19"/>
      <c r="V742" s="19"/>
      <c r="W742" s="20"/>
      <c r="X742" s="19"/>
      <c r="Y742" s="21"/>
      <c r="Z742" s="21"/>
      <c r="AA742" s="21"/>
      <c r="AB742" s="21"/>
      <c r="AC742" s="20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</row>
    <row r="743" spans="1:44" ht="15.6" x14ac:dyDescent="0.3">
      <c r="A743" s="19"/>
      <c r="B743" s="19"/>
      <c r="C743" s="20"/>
      <c r="D743" s="19"/>
      <c r="E743" s="20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20"/>
      <c r="Q743" s="19"/>
      <c r="R743" s="19"/>
      <c r="S743" s="19"/>
      <c r="T743" s="19"/>
      <c r="U743" s="19"/>
      <c r="V743" s="19"/>
      <c r="W743" s="20"/>
      <c r="X743" s="19"/>
      <c r="Y743" s="21"/>
      <c r="Z743" s="21"/>
      <c r="AA743" s="21"/>
      <c r="AB743" s="21"/>
      <c r="AC743" s="20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</row>
    <row r="744" spans="1:44" ht="15.6" x14ac:dyDescent="0.3">
      <c r="A744" s="19"/>
      <c r="B744" s="19"/>
      <c r="C744" s="20"/>
      <c r="D744" s="19"/>
      <c r="E744" s="20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20"/>
      <c r="Q744" s="19"/>
      <c r="R744" s="19"/>
      <c r="S744" s="19"/>
      <c r="T744" s="19"/>
      <c r="U744" s="19"/>
      <c r="V744" s="19"/>
      <c r="W744" s="20"/>
      <c r="X744" s="19"/>
      <c r="Y744" s="21"/>
      <c r="Z744" s="21"/>
      <c r="AA744" s="21"/>
      <c r="AB744" s="21"/>
      <c r="AC744" s="20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</row>
    <row r="745" spans="1:44" ht="15.6" x14ac:dyDescent="0.3">
      <c r="A745" s="19"/>
      <c r="B745" s="19"/>
      <c r="C745" s="20"/>
      <c r="D745" s="19"/>
      <c r="E745" s="20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20"/>
      <c r="Q745" s="19"/>
      <c r="R745" s="19"/>
      <c r="S745" s="19"/>
      <c r="T745" s="19"/>
      <c r="U745" s="19"/>
      <c r="V745" s="19"/>
      <c r="W745" s="20"/>
      <c r="X745" s="19"/>
      <c r="Y745" s="21"/>
      <c r="Z745" s="21"/>
      <c r="AA745" s="21"/>
      <c r="AB745" s="21"/>
      <c r="AC745" s="20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</row>
    <row r="746" spans="1:44" ht="15.6" x14ac:dyDescent="0.3">
      <c r="A746" s="19"/>
      <c r="B746" s="19"/>
      <c r="C746" s="20"/>
      <c r="D746" s="19"/>
      <c r="E746" s="20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20"/>
      <c r="Q746" s="19"/>
      <c r="R746" s="19"/>
      <c r="S746" s="19"/>
      <c r="T746" s="19"/>
      <c r="U746" s="19"/>
      <c r="V746" s="19"/>
      <c r="W746" s="20"/>
      <c r="X746" s="19"/>
      <c r="Y746" s="21"/>
      <c r="Z746" s="21"/>
      <c r="AA746" s="21"/>
      <c r="AB746" s="21"/>
      <c r="AC746" s="20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</row>
    <row r="747" spans="1:44" ht="15.6" x14ac:dyDescent="0.3">
      <c r="A747" s="19"/>
      <c r="B747" s="19"/>
      <c r="C747" s="20"/>
      <c r="D747" s="19"/>
      <c r="E747" s="20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20"/>
      <c r="Q747" s="19"/>
      <c r="R747" s="19"/>
      <c r="S747" s="19"/>
      <c r="T747" s="19"/>
      <c r="U747" s="19"/>
      <c r="V747" s="19"/>
      <c r="W747" s="20"/>
      <c r="X747" s="19"/>
      <c r="Y747" s="21"/>
      <c r="Z747" s="21"/>
      <c r="AA747" s="21"/>
      <c r="AB747" s="21"/>
      <c r="AC747" s="20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</row>
    <row r="748" spans="1:44" ht="15.6" x14ac:dyDescent="0.3">
      <c r="A748" s="19"/>
      <c r="B748" s="19"/>
      <c r="C748" s="20"/>
      <c r="D748" s="19"/>
      <c r="E748" s="20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20"/>
      <c r="Q748" s="19"/>
      <c r="R748" s="19"/>
      <c r="S748" s="19"/>
      <c r="T748" s="19"/>
      <c r="U748" s="19"/>
      <c r="V748" s="19"/>
      <c r="W748" s="20"/>
      <c r="X748" s="19"/>
      <c r="Y748" s="21"/>
      <c r="Z748" s="21"/>
      <c r="AA748" s="21"/>
      <c r="AB748" s="21"/>
      <c r="AC748" s="20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</row>
    <row r="749" spans="1:44" ht="15.6" x14ac:dyDescent="0.3">
      <c r="A749" s="19"/>
      <c r="B749" s="19"/>
      <c r="C749" s="20"/>
      <c r="D749" s="19"/>
      <c r="E749" s="20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20"/>
      <c r="Q749" s="19"/>
      <c r="R749" s="19"/>
      <c r="S749" s="19"/>
      <c r="T749" s="19"/>
      <c r="U749" s="19"/>
      <c r="V749" s="19"/>
      <c r="W749" s="20"/>
      <c r="X749" s="19"/>
      <c r="Y749" s="21"/>
      <c r="Z749" s="21"/>
      <c r="AA749" s="21"/>
      <c r="AB749" s="21"/>
      <c r="AC749" s="20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</row>
    <row r="750" spans="1:44" ht="15.6" x14ac:dyDescent="0.3">
      <c r="A750" s="19"/>
      <c r="B750" s="19"/>
      <c r="C750" s="20"/>
      <c r="D750" s="19"/>
      <c r="E750" s="20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20"/>
      <c r="Q750" s="19"/>
      <c r="R750" s="19"/>
      <c r="S750" s="19"/>
      <c r="T750" s="19"/>
      <c r="U750" s="19"/>
      <c r="V750" s="19"/>
      <c r="W750" s="20"/>
      <c r="X750" s="19"/>
      <c r="Y750" s="21"/>
      <c r="Z750" s="21"/>
      <c r="AA750" s="21"/>
      <c r="AB750" s="21"/>
      <c r="AC750" s="20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</row>
    <row r="751" spans="1:44" ht="15.6" x14ac:dyDescent="0.3">
      <c r="A751" s="19"/>
      <c r="B751" s="19"/>
      <c r="C751" s="20"/>
      <c r="D751" s="19"/>
      <c r="E751" s="20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20"/>
      <c r="Q751" s="19"/>
      <c r="R751" s="19"/>
      <c r="S751" s="19"/>
      <c r="T751" s="19"/>
      <c r="U751" s="19"/>
      <c r="V751" s="19"/>
      <c r="W751" s="20"/>
      <c r="X751" s="19"/>
      <c r="Y751" s="21"/>
      <c r="Z751" s="21"/>
      <c r="AA751" s="21"/>
      <c r="AB751" s="21"/>
      <c r="AC751" s="20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</row>
    <row r="752" spans="1:44" ht="15.6" x14ac:dyDescent="0.3">
      <c r="A752" s="19"/>
      <c r="B752" s="19"/>
      <c r="C752" s="20"/>
      <c r="D752" s="19"/>
      <c r="E752" s="20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20"/>
      <c r="Q752" s="19"/>
      <c r="R752" s="19"/>
      <c r="S752" s="19"/>
      <c r="T752" s="19"/>
      <c r="U752" s="19"/>
      <c r="V752" s="19"/>
      <c r="W752" s="20"/>
      <c r="X752" s="19"/>
      <c r="Y752" s="21"/>
      <c r="Z752" s="21"/>
      <c r="AA752" s="21"/>
      <c r="AB752" s="21"/>
      <c r="AC752" s="20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</row>
    <row r="753" spans="1:44" ht="15.6" x14ac:dyDescent="0.3">
      <c r="A753" s="19"/>
      <c r="B753" s="19"/>
      <c r="C753" s="20"/>
      <c r="D753" s="19"/>
      <c r="E753" s="20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20"/>
      <c r="Q753" s="19"/>
      <c r="R753" s="19"/>
      <c r="S753" s="19"/>
      <c r="T753" s="19"/>
      <c r="U753" s="19"/>
      <c r="V753" s="19"/>
      <c r="W753" s="20"/>
      <c r="X753" s="19"/>
      <c r="Y753" s="21"/>
      <c r="Z753" s="21"/>
      <c r="AA753" s="21"/>
      <c r="AB753" s="21"/>
      <c r="AC753" s="20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</row>
    <row r="754" spans="1:44" ht="15.6" x14ac:dyDescent="0.3">
      <c r="A754" s="19"/>
      <c r="B754" s="19"/>
      <c r="C754" s="20"/>
      <c r="D754" s="19"/>
      <c r="E754" s="20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20"/>
      <c r="Q754" s="19"/>
      <c r="R754" s="19"/>
      <c r="S754" s="19"/>
      <c r="T754" s="19"/>
      <c r="U754" s="19"/>
      <c r="V754" s="19"/>
      <c r="W754" s="20"/>
      <c r="X754" s="19"/>
      <c r="Y754" s="21"/>
      <c r="Z754" s="21"/>
      <c r="AA754" s="21"/>
      <c r="AB754" s="21"/>
      <c r="AC754" s="20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</row>
    <row r="755" spans="1:44" ht="15.6" x14ac:dyDescent="0.3">
      <c r="A755" s="19"/>
      <c r="B755" s="19"/>
      <c r="C755" s="20"/>
      <c r="D755" s="19"/>
      <c r="E755" s="20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20"/>
      <c r="Q755" s="19"/>
      <c r="R755" s="19"/>
      <c r="S755" s="19"/>
      <c r="T755" s="19"/>
      <c r="U755" s="19"/>
      <c r="V755" s="19"/>
      <c r="W755" s="20"/>
      <c r="X755" s="19"/>
      <c r="Y755" s="21"/>
      <c r="Z755" s="21"/>
      <c r="AA755" s="21"/>
      <c r="AB755" s="21"/>
      <c r="AC755" s="20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</row>
    <row r="756" spans="1:44" ht="15.6" x14ac:dyDescent="0.3">
      <c r="A756" s="19"/>
      <c r="B756" s="19"/>
      <c r="C756" s="20"/>
      <c r="D756" s="19"/>
      <c r="E756" s="20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20"/>
      <c r="Q756" s="19"/>
      <c r="R756" s="19"/>
      <c r="S756" s="19"/>
      <c r="T756" s="19"/>
      <c r="U756" s="19"/>
      <c r="V756" s="19"/>
      <c r="W756" s="20"/>
      <c r="X756" s="19"/>
      <c r="Y756" s="21"/>
      <c r="Z756" s="21"/>
      <c r="AA756" s="21"/>
      <c r="AB756" s="21"/>
      <c r="AC756" s="20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</row>
    <row r="757" spans="1:44" ht="15.6" x14ac:dyDescent="0.3">
      <c r="A757" s="19"/>
      <c r="B757" s="19"/>
      <c r="C757" s="20"/>
      <c r="D757" s="19"/>
      <c r="E757" s="20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20"/>
      <c r="Q757" s="19"/>
      <c r="R757" s="19"/>
      <c r="S757" s="19"/>
      <c r="T757" s="19"/>
      <c r="U757" s="19"/>
      <c r="V757" s="19"/>
      <c r="W757" s="20"/>
      <c r="X757" s="19"/>
      <c r="Y757" s="21"/>
      <c r="Z757" s="21"/>
      <c r="AA757" s="21"/>
      <c r="AB757" s="21"/>
      <c r="AC757" s="20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</row>
    <row r="758" spans="1:44" ht="15.6" x14ac:dyDescent="0.3">
      <c r="A758" s="19"/>
      <c r="B758" s="19"/>
      <c r="C758" s="20"/>
      <c r="D758" s="19"/>
      <c r="E758" s="20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20"/>
      <c r="Q758" s="19"/>
      <c r="R758" s="19"/>
      <c r="S758" s="19"/>
      <c r="T758" s="19"/>
      <c r="U758" s="19"/>
      <c r="V758" s="19"/>
      <c r="W758" s="20"/>
      <c r="X758" s="19"/>
      <c r="Y758" s="21"/>
      <c r="Z758" s="21"/>
      <c r="AA758" s="21"/>
      <c r="AB758" s="21"/>
      <c r="AC758" s="20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</row>
    <row r="759" spans="1:44" ht="15.6" x14ac:dyDescent="0.3">
      <c r="A759" s="19"/>
      <c r="B759" s="19"/>
      <c r="C759" s="20"/>
      <c r="D759" s="19"/>
      <c r="E759" s="20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20"/>
      <c r="Q759" s="19"/>
      <c r="R759" s="19"/>
      <c r="S759" s="19"/>
      <c r="T759" s="19"/>
      <c r="U759" s="19"/>
      <c r="V759" s="19"/>
      <c r="W759" s="20"/>
      <c r="X759" s="19"/>
      <c r="Y759" s="21"/>
      <c r="Z759" s="21"/>
      <c r="AA759" s="21"/>
      <c r="AB759" s="21"/>
      <c r="AC759" s="20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</row>
    <row r="760" spans="1:44" ht="15.6" x14ac:dyDescent="0.3">
      <c r="A760" s="19"/>
      <c r="B760" s="19"/>
      <c r="C760" s="20"/>
      <c r="D760" s="19"/>
      <c r="E760" s="20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20"/>
      <c r="Q760" s="19"/>
      <c r="R760" s="19"/>
      <c r="S760" s="19"/>
      <c r="T760" s="19"/>
      <c r="U760" s="19"/>
      <c r="V760" s="19"/>
      <c r="W760" s="20"/>
      <c r="X760" s="19"/>
      <c r="Y760" s="21"/>
      <c r="Z760" s="21"/>
      <c r="AA760" s="21"/>
      <c r="AB760" s="21"/>
      <c r="AC760" s="20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</row>
    <row r="761" spans="1:44" ht="15.6" x14ac:dyDescent="0.3">
      <c r="A761" s="19"/>
      <c r="B761" s="19"/>
      <c r="C761" s="20"/>
      <c r="D761" s="19"/>
      <c r="E761" s="20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20"/>
      <c r="Q761" s="19"/>
      <c r="R761" s="19"/>
      <c r="S761" s="19"/>
      <c r="T761" s="19"/>
      <c r="U761" s="19"/>
      <c r="V761" s="19"/>
      <c r="W761" s="20"/>
      <c r="X761" s="19"/>
      <c r="Y761" s="21"/>
      <c r="Z761" s="21"/>
      <c r="AA761" s="21"/>
      <c r="AB761" s="21"/>
      <c r="AC761" s="20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</row>
    <row r="762" spans="1:44" ht="15.6" x14ac:dyDescent="0.3">
      <c r="A762" s="19"/>
      <c r="B762" s="19"/>
      <c r="C762" s="20"/>
      <c r="D762" s="19"/>
      <c r="E762" s="20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20"/>
      <c r="Q762" s="19"/>
      <c r="R762" s="19"/>
      <c r="S762" s="19"/>
      <c r="T762" s="19"/>
      <c r="U762" s="19"/>
      <c r="V762" s="19"/>
      <c r="W762" s="20"/>
      <c r="X762" s="19"/>
      <c r="Y762" s="21"/>
      <c r="Z762" s="21"/>
      <c r="AA762" s="21"/>
      <c r="AB762" s="21"/>
      <c r="AC762" s="20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</row>
    <row r="763" spans="1:44" ht="15.6" x14ac:dyDescent="0.3">
      <c r="A763" s="19"/>
      <c r="B763" s="19"/>
      <c r="C763" s="20"/>
      <c r="D763" s="19"/>
      <c r="E763" s="20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20"/>
      <c r="Q763" s="19"/>
      <c r="R763" s="19"/>
      <c r="S763" s="19"/>
      <c r="T763" s="19"/>
      <c r="U763" s="19"/>
      <c r="V763" s="19"/>
      <c r="W763" s="20"/>
      <c r="X763" s="19"/>
      <c r="Y763" s="21"/>
      <c r="Z763" s="21"/>
      <c r="AA763" s="21"/>
      <c r="AB763" s="21"/>
      <c r="AC763" s="20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</row>
    <row r="764" spans="1:44" ht="15.6" x14ac:dyDescent="0.3">
      <c r="A764" s="19"/>
      <c r="B764" s="19"/>
      <c r="C764" s="20"/>
      <c r="D764" s="19"/>
      <c r="E764" s="20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20"/>
      <c r="Q764" s="19"/>
      <c r="R764" s="19"/>
      <c r="S764" s="19"/>
      <c r="T764" s="19"/>
      <c r="U764" s="19"/>
      <c r="V764" s="19"/>
      <c r="W764" s="20"/>
      <c r="X764" s="19"/>
      <c r="Y764" s="21"/>
      <c r="Z764" s="21"/>
      <c r="AA764" s="21"/>
      <c r="AB764" s="21"/>
      <c r="AC764" s="20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</row>
    <row r="765" spans="1:44" ht="15.6" x14ac:dyDescent="0.3">
      <c r="A765" s="19"/>
      <c r="B765" s="19"/>
      <c r="C765" s="20"/>
      <c r="D765" s="19"/>
      <c r="E765" s="20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20"/>
      <c r="Q765" s="19"/>
      <c r="R765" s="19"/>
      <c r="S765" s="19"/>
      <c r="T765" s="19"/>
      <c r="U765" s="19"/>
      <c r="V765" s="19"/>
      <c r="W765" s="20"/>
      <c r="X765" s="19"/>
      <c r="Y765" s="21"/>
      <c r="Z765" s="21"/>
      <c r="AA765" s="21"/>
      <c r="AB765" s="21"/>
      <c r="AC765" s="20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</row>
    <row r="766" spans="1:44" ht="15.6" x14ac:dyDescent="0.3">
      <c r="A766" s="19"/>
      <c r="B766" s="19"/>
      <c r="C766" s="20"/>
      <c r="D766" s="19"/>
      <c r="E766" s="20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20"/>
      <c r="Q766" s="19"/>
      <c r="R766" s="19"/>
      <c r="S766" s="19"/>
      <c r="T766" s="19"/>
      <c r="U766" s="19"/>
      <c r="V766" s="19"/>
      <c r="W766" s="20"/>
      <c r="X766" s="19"/>
      <c r="Y766" s="21"/>
      <c r="Z766" s="21"/>
      <c r="AA766" s="21"/>
      <c r="AB766" s="21"/>
      <c r="AC766" s="20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</row>
    <row r="767" spans="1:44" ht="15.6" x14ac:dyDescent="0.3">
      <c r="A767" s="19"/>
      <c r="B767" s="19"/>
      <c r="C767" s="20"/>
      <c r="D767" s="19"/>
      <c r="E767" s="20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20"/>
      <c r="Q767" s="19"/>
      <c r="R767" s="19"/>
      <c r="S767" s="19"/>
      <c r="T767" s="19"/>
      <c r="U767" s="19"/>
      <c r="V767" s="19"/>
      <c r="W767" s="20"/>
      <c r="X767" s="19"/>
      <c r="Y767" s="21"/>
      <c r="Z767" s="21"/>
      <c r="AA767" s="21"/>
      <c r="AB767" s="21"/>
      <c r="AC767" s="20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</row>
    <row r="768" spans="1:44" ht="15.6" x14ac:dyDescent="0.3">
      <c r="A768" s="19"/>
      <c r="B768" s="19"/>
      <c r="C768" s="20"/>
      <c r="D768" s="19"/>
      <c r="E768" s="20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20"/>
      <c r="Q768" s="19"/>
      <c r="R768" s="19"/>
      <c r="S768" s="19"/>
      <c r="T768" s="19"/>
      <c r="U768" s="19"/>
      <c r="V768" s="19"/>
      <c r="W768" s="20"/>
      <c r="X768" s="19"/>
      <c r="Y768" s="21"/>
      <c r="Z768" s="21"/>
      <c r="AA768" s="21"/>
      <c r="AB768" s="21"/>
      <c r="AC768" s="20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</row>
    <row r="769" spans="1:44" ht="15.6" x14ac:dyDescent="0.3">
      <c r="A769" s="19"/>
      <c r="B769" s="19"/>
      <c r="C769" s="20"/>
      <c r="D769" s="19"/>
      <c r="E769" s="20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20"/>
      <c r="Q769" s="19"/>
      <c r="R769" s="19"/>
      <c r="S769" s="19"/>
      <c r="T769" s="19"/>
      <c r="U769" s="19"/>
      <c r="V769" s="19"/>
      <c r="W769" s="20"/>
      <c r="X769" s="19"/>
      <c r="Y769" s="21"/>
      <c r="Z769" s="21"/>
      <c r="AA769" s="21"/>
      <c r="AB769" s="21"/>
      <c r="AC769" s="20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</row>
    <row r="770" spans="1:44" ht="15.6" x14ac:dyDescent="0.3">
      <c r="A770" s="19"/>
      <c r="B770" s="19"/>
      <c r="C770" s="20"/>
      <c r="D770" s="19"/>
      <c r="E770" s="20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20"/>
      <c r="Q770" s="19"/>
      <c r="R770" s="19"/>
      <c r="S770" s="19"/>
      <c r="T770" s="19"/>
      <c r="U770" s="19"/>
      <c r="V770" s="19"/>
      <c r="W770" s="20"/>
      <c r="X770" s="19"/>
      <c r="Y770" s="21"/>
      <c r="Z770" s="21"/>
      <c r="AA770" s="21"/>
      <c r="AB770" s="21"/>
      <c r="AC770" s="20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</row>
    <row r="771" spans="1:44" ht="15.6" x14ac:dyDescent="0.3">
      <c r="A771" s="19"/>
      <c r="B771" s="19"/>
      <c r="C771" s="20"/>
      <c r="D771" s="19"/>
      <c r="E771" s="20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20"/>
      <c r="Q771" s="19"/>
      <c r="R771" s="19"/>
      <c r="S771" s="19"/>
      <c r="T771" s="19"/>
      <c r="U771" s="19"/>
      <c r="V771" s="19"/>
      <c r="W771" s="20"/>
      <c r="X771" s="19"/>
      <c r="Y771" s="21"/>
      <c r="Z771" s="21"/>
      <c r="AA771" s="21"/>
      <c r="AB771" s="21"/>
      <c r="AC771" s="20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</row>
    <row r="772" spans="1:44" ht="15.6" x14ac:dyDescent="0.3">
      <c r="A772" s="19"/>
      <c r="B772" s="19"/>
      <c r="C772" s="20"/>
      <c r="D772" s="19"/>
      <c r="E772" s="20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20"/>
      <c r="Q772" s="19"/>
      <c r="R772" s="19"/>
      <c r="S772" s="19"/>
      <c r="T772" s="19"/>
      <c r="U772" s="19"/>
      <c r="V772" s="19"/>
      <c r="W772" s="20"/>
      <c r="X772" s="19"/>
      <c r="Y772" s="21"/>
      <c r="Z772" s="21"/>
      <c r="AA772" s="21"/>
      <c r="AB772" s="21"/>
      <c r="AC772" s="20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</row>
    <row r="773" spans="1:44" ht="15.6" x14ac:dyDescent="0.3">
      <c r="A773" s="19"/>
      <c r="B773" s="19"/>
      <c r="C773" s="20"/>
      <c r="D773" s="19"/>
      <c r="E773" s="20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20"/>
      <c r="Q773" s="19"/>
      <c r="R773" s="19"/>
      <c r="S773" s="19"/>
      <c r="T773" s="19"/>
      <c r="U773" s="19"/>
      <c r="V773" s="19"/>
      <c r="W773" s="20"/>
      <c r="X773" s="19"/>
      <c r="Y773" s="21"/>
      <c r="Z773" s="21"/>
      <c r="AA773" s="21"/>
      <c r="AB773" s="21"/>
      <c r="AC773" s="20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</row>
    <row r="774" spans="1:44" ht="15.6" x14ac:dyDescent="0.3">
      <c r="A774" s="19"/>
      <c r="B774" s="19"/>
      <c r="C774" s="20"/>
      <c r="D774" s="19"/>
      <c r="E774" s="20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20"/>
      <c r="Q774" s="19"/>
      <c r="R774" s="19"/>
      <c r="S774" s="19"/>
      <c r="T774" s="19"/>
      <c r="U774" s="19"/>
      <c r="V774" s="19"/>
      <c r="W774" s="20"/>
      <c r="X774" s="19"/>
      <c r="Y774" s="21"/>
      <c r="Z774" s="21"/>
      <c r="AA774" s="21"/>
      <c r="AB774" s="21"/>
      <c r="AC774" s="20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</row>
    <row r="775" spans="1:44" ht="15.6" x14ac:dyDescent="0.3">
      <c r="A775" s="19"/>
      <c r="B775" s="19"/>
      <c r="C775" s="20"/>
      <c r="D775" s="19"/>
      <c r="E775" s="20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20"/>
      <c r="Q775" s="19"/>
      <c r="R775" s="19"/>
      <c r="S775" s="19"/>
      <c r="T775" s="19"/>
      <c r="U775" s="19"/>
      <c r="V775" s="19"/>
      <c r="W775" s="20"/>
      <c r="X775" s="19"/>
      <c r="Y775" s="21"/>
      <c r="Z775" s="21"/>
      <c r="AA775" s="21"/>
      <c r="AB775" s="21"/>
      <c r="AC775" s="20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</row>
    <row r="776" spans="1:44" ht="15.6" x14ac:dyDescent="0.3">
      <c r="A776" s="19"/>
      <c r="B776" s="19"/>
      <c r="C776" s="20"/>
      <c r="D776" s="19"/>
      <c r="E776" s="20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20"/>
      <c r="Q776" s="19"/>
      <c r="R776" s="19"/>
      <c r="S776" s="19"/>
      <c r="T776" s="19"/>
      <c r="U776" s="19"/>
      <c r="V776" s="19"/>
      <c r="W776" s="20"/>
      <c r="X776" s="19"/>
      <c r="Y776" s="21"/>
      <c r="Z776" s="21"/>
      <c r="AA776" s="21"/>
      <c r="AB776" s="21"/>
      <c r="AC776" s="20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</row>
    <row r="777" spans="1:44" ht="15.6" x14ac:dyDescent="0.3">
      <c r="A777" s="19"/>
      <c r="B777" s="19"/>
      <c r="C777" s="20"/>
      <c r="D777" s="19"/>
      <c r="E777" s="20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20"/>
      <c r="Q777" s="19"/>
      <c r="R777" s="19"/>
      <c r="S777" s="19"/>
      <c r="T777" s="19"/>
      <c r="U777" s="19"/>
      <c r="V777" s="19"/>
      <c r="W777" s="20"/>
      <c r="X777" s="19"/>
      <c r="Y777" s="21"/>
      <c r="Z777" s="21"/>
      <c r="AA777" s="21"/>
      <c r="AB777" s="21"/>
      <c r="AC777" s="20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</row>
    <row r="778" spans="1:44" ht="15.6" x14ac:dyDescent="0.3">
      <c r="A778" s="19"/>
      <c r="B778" s="19"/>
      <c r="C778" s="20"/>
      <c r="D778" s="19"/>
      <c r="E778" s="20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20"/>
      <c r="Q778" s="19"/>
      <c r="R778" s="19"/>
      <c r="S778" s="19"/>
      <c r="T778" s="19"/>
      <c r="U778" s="19"/>
      <c r="V778" s="19"/>
      <c r="W778" s="20"/>
      <c r="X778" s="19"/>
      <c r="Y778" s="21"/>
      <c r="Z778" s="21"/>
      <c r="AA778" s="21"/>
      <c r="AB778" s="21"/>
      <c r="AC778" s="20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</row>
    <row r="779" spans="1:44" ht="15.6" x14ac:dyDescent="0.3">
      <c r="A779" s="19"/>
      <c r="B779" s="19"/>
      <c r="C779" s="20"/>
      <c r="D779" s="19"/>
      <c r="E779" s="20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20"/>
      <c r="Q779" s="19"/>
      <c r="R779" s="19"/>
      <c r="S779" s="19"/>
      <c r="T779" s="19"/>
      <c r="U779" s="19"/>
      <c r="V779" s="19"/>
      <c r="W779" s="20"/>
      <c r="X779" s="19"/>
      <c r="Y779" s="21"/>
      <c r="Z779" s="21"/>
      <c r="AA779" s="21"/>
      <c r="AB779" s="21"/>
      <c r="AC779" s="20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</row>
    <row r="780" spans="1:44" ht="15.6" x14ac:dyDescent="0.3">
      <c r="A780" s="19"/>
      <c r="B780" s="19"/>
      <c r="C780" s="20"/>
      <c r="D780" s="19"/>
      <c r="E780" s="20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20"/>
      <c r="Q780" s="19"/>
      <c r="R780" s="19"/>
      <c r="S780" s="19"/>
      <c r="T780" s="19"/>
      <c r="U780" s="19"/>
      <c r="V780" s="19"/>
      <c r="W780" s="20"/>
      <c r="X780" s="19"/>
      <c r="Y780" s="21"/>
      <c r="Z780" s="21"/>
      <c r="AA780" s="21"/>
      <c r="AB780" s="21"/>
      <c r="AC780" s="20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</row>
    <row r="781" spans="1:44" ht="15.6" x14ac:dyDescent="0.3">
      <c r="A781" s="19"/>
      <c r="B781" s="19"/>
      <c r="C781" s="20"/>
      <c r="D781" s="19"/>
      <c r="E781" s="20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20"/>
      <c r="Q781" s="19"/>
      <c r="R781" s="19"/>
      <c r="S781" s="19"/>
      <c r="T781" s="19"/>
      <c r="U781" s="19"/>
      <c r="V781" s="19"/>
      <c r="W781" s="20"/>
      <c r="X781" s="19"/>
      <c r="Y781" s="21"/>
      <c r="Z781" s="21"/>
      <c r="AA781" s="21"/>
      <c r="AB781" s="21"/>
      <c r="AC781" s="20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</row>
    <row r="782" spans="1:44" ht="15.6" x14ac:dyDescent="0.3">
      <c r="A782" s="19"/>
      <c r="B782" s="19"/>
      <c r="C782" s="20"/>
      <c r="D782" s="19"/>
      <c r="E782" s="20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20"/>
      <c r="Q782" s="19"/>
      <c r="R782" s="19"/>
      <c r="S782" s="19"/>
      <c r="T782" s="19"/>
      <c r="U782" s="19"/>
      <c r="V782" s="19"/>
      <c r="W782" s="20"/>
      <c r="X782" s="19"/>
      <c r="Y782" s="21"/>
      <c r="Z782" s="21"/>
      <c r="AA782" s="21"/>
      <c r="AB782" s="21"/>
      <c r="AC782" s="20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</row>
    <row r="783" spans="1:44" ht="15.6" x14ac:dyDescent="0.3">
      <c r="A783" s="19"/>
      <c r="B783" s="19"/>
      <c r="C783" s="20"/>
      <c r="D783" s="19"/>
      <c r="E783" s="20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20"/>
      <c r="Q783" s="19"/>
      <c r="R783" s="19"/>
      <c r="S783" s="19"/>
      <c r="T783" s="19"/>
      <c r="U783" s="19"/>
      <c r="V783" s="19"/>
      <c r="W783" s="20"/>
      <c r="X783" s="19"/>
      <c r="Y783" s="21"/>
      <c r="Z783" s="21"/>
      <c r="AA783" s="21"/>
      <c r="AB783" s="21"/>
      <c r="AC783" s="20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</row>
    <row r="784" spans="1:44" ht="15.6" x14ac:dyDescent="0.3">
      <c r="A784" s="19"/>
      <c r="B784" s="19"/>
      <c r="C784" s="20"/>
      <c r="D784" s="19"/>
      <c r="E784" s="20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20"/>
      <c r="Q784" s="19"/>
      <c r="R784" s="19"/>
      <c r="S784" s="19"/>
      <c r="T784" s="19"/>
      <c r="U784" s="19"/>
      <c r="V784" s="19"/>
      <c r="W784" s="20"/>
      <c r="X784" s="19"/>
      <c r="Y784" s="21"/>
      <c r="Z784" s="21"/>
      <c r="AA784" s="21"/>
      <c r="AB784" s="21"/>
      <c r="AC784" s="20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</row>
    <row r="785" spans="1:44" ht="15.6" x14ac:dyDescent="0.3">
      <c r="A785" s="19"/>
      <c r="B785" s="19"/>
      <c r="C785" s="20"/>
      <c r="D785" s="19"/>
      <c r="E785" s="20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20"/>
      <c r="Q785" s="19"/>
      <c r="R785" s="19"/>
      <c r="S785" s="19"/>
      <c r="T785" s="19"/>
      <c r="U785" s="19"/>
      <c r="V785" s="19"/>
      <c r="W785" s="20"/>
      <c r="X785" s="19"/>
      <c r="Y785" s="21"/>
      <c r="Z785" s="21"/>
      <c r="AA785" s="21"/>
      <c r="AB785" s="21"/>
      <c r="AC785" s="20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</row>
    <row r="786" spans="1:44" ht="15.6" x14ac:dyDescent="0.3">
      <c r="A786" s="19"/>
      <c r="B786" s="19"/>
      <c r="C786" s="20"/>
      <c r="D786" s="19"/>
      <c r="E786" s="20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20"/>
      <c r="Q786" s="19"/>
      <c r="R786" s="19"/>
      <c r="S786" s="19"/>
      <c r="T786" s="19"/>
      <c r="U786" s="19"/>
      <c r="V786" s="19"/>
      <c r="W786" s="20"/>
      <c r="X786" s="19"/>
      <c r="Y786" s="21"/>
      <c r="Z786" s="21"/>
      <c r="AA786" s="21"/>
      <c r="AB786" s="21"/>
      <c r="AC786" s="20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</row>
    <row r="787" spans="1:44" ht="15.6" x14ac:dyDescent="0.3">
      <c r="A787" s="19"/>
      <c r="B787" s="19"/>
      <c r="C787" s="20"/>
      <c r="D787" s="19"/>
      <c r="E787" s="20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20"/>
      <c r="Q787" s="19"/>
      <c r="R787" s="19"/>
      <c r="S787" s="19"/>
      <c r="T787" s="19"/>
      <c r="U787" s="19"/>
      <c r="V787" s="19"/>
      <c r="W787" s="20"/>
      <c r="X787" s="19"/>
      <c r="Y787" s="21"/>
      <c r="Z787" s="21"/>
      <c r="AA787" s="21"/>
      <c r="AB787" s="21"/>
      <c r="AC787" s="20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</row>
    <row r="788" spans="1:44" ht="15.6" x14ac:dyDescent="0.3">
      <c r="A788" s="19"/>
      <c r="B788" s="19"/>
      <c r="C788" s="20"/>
      <c r="D788" s="19"/>
      <c r="E788" s="20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20"/>
      <c r="Q788" s="19"/>
      <c r="R788" s="19"/>
      <c r="S788" s="19"/>
      <c r="T788" s="19"/>
      <c r="U788" s="19"/>
      <c r="V788" s="19"/>
      <c r="W788" s="20"/>
      <c r="X788" s="19"/>
      <c r="Y788" s="21"/>
      <c r="Z788" s="21"/>
      <c r="AA788" s="21"/>
      <c r="AB788" s="21"/>
      <c r="AC788" s="20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</row>
    <row r="789" spans="1:44" ht="15.6" x14ac:dyDescent="0.3">
      <c r="A789" s="19"/>
      <c r="B789" s="19"/>
      <c r="C789" s="20"/>
      <c r="D789" s="19"/>
      <c r="E789" s="20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20"/>
      <c r="Q789" s="19"/>
      <c r="R789" s="19"/>
      <c r="S789" s="19"/>
      <c r="T789" s="19"/>
      <c r="U789" s="19"/>
      <c r="V789" s="19"/>
      <c r="W789" s="20"/>
      <c r="X789" s="19"/>
      <c r="Y789" s="21"/>
      <c r="Z789" s="21"/>
      <c r="AA789" s="21"/>
      <c r="AB789" s="21"/>
      <c r="AC789" s="20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</row>
    <row r="790" spans="1:44" ht="15.6" x14ac:dyDescent="0.3">
      <c r="A790" s="19"/>
      <c r="B790" s="19"/>
      <c r="C790" s="20"/>
      <c r="D790" s="19"/>
      <c r="E790" s="20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20"/>
      <c r="Q790" s="19"/>
      <c r="R790" s="19"/>
      <c r="S790" s="19"/>
      <c r="T790" s="19"/>
      <c r="U790" s="19"/>
      <c r="V790" s="19"/>
      <c r="W790" s="20"/>
      <c r="X790" s="19"/>
      <c r="Y790" s="21"/>
      <c r="Z790" s="21"/>
      <c r="AA790" s="21"/>
      <c r="AB790" s="21"/>
      <c r="AC790" s="20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</row>
    <row r="791" spans="1:44" ht="15.6" x14ac:dyDescent="0.3">
      <c r="A791" s="19"/>
      <c r="B791" s="19"/>
      <c r="C791" s="20"/>
      <c r="D791" s="19"/>
      <c r="E791" s="20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20"/>
      <c r="Q791" s="19"/>
      <c r="R791" s="19"/>
      <c r="S791" s="19"/>
      <c r="T791" s="19"/>
      <c r="U791" s="19"/>
      <c r="V791" s="19"/>
      <c r="W791" s="20"/>
      <c r="X791" s="19"/>
      <c r="Y791" s="21"/>
      <c r="Z791" s="21"/>
      <c r="AA791" s="21"/>
      <c r="AB791" s="21"/>
      <c r="AC791" s="20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</row>
    <row r="792" spans="1:44" ht="15.6" x14ac:dyDescent="0.3">
      <c r="A792" s="19"/>
      <c r="B792" s="19"/>
      <c r="C792" s="20"/>
      <c r="D792" s="19"/>
      <c r="E792" s="20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20"/>
      <c r="Q792" s="19"/>
      <c r="R792" s="19"/>
      <c r="S792" s="19"/>
      <c r="T792" s="19"/>
      <c r="U792" s="19"/>
      <c r="V792" s="19"/>
      <c r="W792" s="20"/>
      <c r="X792" s="19"/>
      <c r="Y792" s="21"/>
      <c r="Z792" s="21"/>
      <c r="AA792" s="21"/>
      <c r="AB792" s="21"/>
      <c r="AC792" s="20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</row>
    <row r="793" spans="1:44" ht="15.6" x14ac:dyDescent="0.3">
      <c r="A793" s="19"/>
      <c r="B793" s="19"/>
      <c r="C793" s="20"/>
      <c r="D793" s="19"/>
      <c r="E793" s="20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20"/>
      <c r="Q793" s="19"/>
      <c r="R793" s="19"/>
      <c r="S793" s="19"/>
      <c r="T793" s="19"/>
      <c r="U793" s="19"/>
      <c r="V793" s="19"/>
      <c r="W793" s="20"/>
      <c r="X793" s="19"/>
      <c r="Y793" s="21"/>
      <c r="Z793" s="21"/>
      <c r="AA793" s="21"/>
      <c r="AB793" s="21"/>
      <c r="AC793" s="20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</row>
    <row r="794" spans="1:44" ht="15.6" x14ac:dyDescent="0.3">
      <c r="A794" s="19"/>
      <c r="B794" s="19"/>
      <c r="C794" s="20"/>
      <c r="D794" s="19"/>
      <c r="E794" s="20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20"/>
      <c r="Q794" s="19"/>
      <c r="R794" s="19"/>
      <c r="S794" s="19"/>
      <c r="T794" s="19"/>
      <c r="U794" s="19"/>
      <c r="V794" s="19"/>
      <c r="W794" s="20"/>
      <c r="X794" s="19"/>
      <c r="Y794" s="21"/>
      <c r="Z794" s="21"/>
      <c r="AA794" s="21"/>
      <c r="AB794" s="21"/>
      <c r="AC794" s="20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</row>
    <row r="795" spans="1:44" ht="15.6" x14ac:dyDescent="0.3">
      <c r="A795" s="19"/>
      <c r="B795" s="19"/>
      <c r="C795" s="20"/>
      <c r="D795" s="19"/>
      <c r="E795" s="20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20"/>
      <c r="Q795" s="19"/>
      <c r="R795" s="19"/>
      <c r="S795" s="19"/>
      <c r="T795" s="19"/>
      <c r="U795" s="19"/>
      <c r="V795" s="19"/>
      <c r="W795" s="20"/>
      <c r="X795" s="19"/>
      <c r="Y795" s="21"/>
      <c r="Z795" s="21"/>
      <c r="AA795" s="21"/>
      <c r="AB795" s="21"/>
      <c r="AC795" s="20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</row>
    <row r="796" spans="1:44" ht="15.6" x14ac:dyDescent="0.3">
      <c r="A796" s="19"/>
      <c r="B796" s="19"/>
      <c r="C796" s="20"/>
      <c r="D796" s="19"/>
      <c r="E796" s="20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20"/>
      <c r="Q796" s="19"/>
      <c r="R796" s="19"/>
      <c r="S796" s="19"/>
      <c r="T796" s="19"/>
      <c r="U796" s="19"/>
      <c r="V796" s="19"/>
      <c r="W796" s="20"/>
      <c r="X796" s="19"/>
      <c r="Y796" s="21"/>
      <c r="Z796" s="21"/>
      <c r="AA796" s="21"/>
      <c r="AB796" s="21"/>
      <c r="AC796" s="20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</row>
    <row r="797" spans="1:44" ht="15.6" x14ac:dyDescent="0.3">
      <c r="A797" s="19"/>
      <c r="B797" s="19"/>
      <c r="C797" s="20"/>
      <c r="D797" s="19"/>
      <c r="E797" s="20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20"/>
      <c r="Q797" s="19"/>
      <c r="R797" s="19"/>
      <c r="S797" s="19"/>
      <c r="T797" s="19"/>
      <c r="U797" s="19"/>
      <c r="V797" s="19"/>
      <c r="W797" s="20"/>
      <c r="X797" s="19"/>
      <c r="Y797" s="21"/>
      <c r="Z797" s="21"/>
      <c r="AA797" s="21"/>
      <c r="AB797" s="21"/>
      <c r="AC797" s="20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</row>
    <row r="798" spans="1:44" ht="15.6" x14ac:dyDescent="0.3">
      <c r="A798" s="19"/>
      <c r="B798" s="19"/>
      <c r="C798" s="20"/>
      <c r="D798" s="19"/>
      <c r="E798" s="20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20"/>
      <c r="Q798" s="19"/>
      <c r="R798" s="19"/>
      <c r="S798" s="19"/>
      <c r="T798" s="19"/>
      <c r="U798" s="19"/>
      <c r="V798" s="19"/>
      <c r="W798" s="20"/>
      <c r="X798" s="19"/>
      <c r="Y798" s="21"/>
      <c r="Z798" s="21"/>
      <c r="AA798" s="21"/>
      <c r="AB798" s="21"/>
      <c r="AC798" s="20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</row>
    <row r="799" spans="1:44" ht="15.6" x14ac:dyDescent="0.3">
      <c r="A799" s="19"/>
      <c r="B799" s="19"/>
      <c r="C799" s="20"/>
      <c r="D799" s="19"/>
      <c r="E799" s="20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20"/>
      <c r="Q799" s="19"/>
      <c r="R799" s="19"/>
      <c r="S799" s="19"/>
      <c r="T799" s="19"/>
      <c r="U799" s="19"/>
      <c r="V799" s="19"/>
      <c r="W799" s="20"/>
      <c r="X799" s="19"/>
      <c r="Y799" s="21"/>
      <c r="Z799" s="21"/>
      <c r="AA799" s="21"/>
      <c r="AB799" s="21"/>
      <c r="AC799" s="20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</row>
    <row r="800" spans="1:44" ht="15.6" x14ac:dyDescent="0.3">
      <c r="A800" s="19"/>
      <c r="B800" s="19"/>
      <c r="C800" s="20"/>
      <c r="D800" s="19"/>
      <c r="E800" s="20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20"/>
      <c r="Q800" s="19"/>
      <c r="R800" s="19"/>
      <c r="S800" s="19"/>
      <c r="T800" s="19"/>
      <c r="U800" s="19"/>
      <c r="V800" s="19"/>
      <c r="W800" s="20"/>
      <c r="X800" s="19"/>
      <c r="Y800" s="21"/>
      <c r="Z800" s="21"/>
      <c r="AA800" s="21"/>
      <c r="AB800" s="21"/>
      <c r="AC800" s="20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</row>
    <row r="801" spans="1:44" ht="15.6" x14ac:dyDescent="0.3">
      <c r="A801" s="19"/>
      <c r="B801" s="19"/>
      <c r="C801" s="20"/>
      <c r="D801" s="19"/>
      <c r="E801" s="20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20"/>
      <c r="Q801" s="19"/>
      <c r="R801" s="19"/>
      <c r="S801" s="19"/>
      <c r="T801" s="19"/>
      <c r="U801" s="19"/>
      <c r="V801" s="19"/>
      <c r="W801" s="20"/>
      <c r="X801" s="19"/>
      <c r="Y801" s="21"/>
      <c r="Z801" s="21"/>
      <c r="AA801" s="21"/>
      <c r="AB801" s="21"/>
      <c r="AC801" s="20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</row>
    <row r="802" spans="1:44" ht="15.6" x14ac:dyDescent="0.3">
      <c r="A802" s="19"/>
      <c r="B802" s="19"/>
      <c r="C802" s="20"/>
      <c r="D802" s="19"/>
      <c r="E802" s="20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20"/>
      <c r="Q802" s="19"/>
      <c r="R802" s="19"/>
      <c r="S802" s="19"/>
      <c r="T802" s="19"/>
      <c r="U802" s="19"/>
      <c r="V802" s="19"/>
      <c r="W802" s="20"/>
      <c r="X802" s="19"/>
      <c r="Y802" s="21"/>
      <c r="Z802" s="21"/>
      <c r="AA802" s="21"/>
      <c r="AB802" s="21"/>
      <c r="AC802" s="20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</row>
    <row r="803" spans="1:44" ht="15.6" x14ac:dyDescent="0.3">
      <c r="A803" s="19"/>
      <c r="B803" s="19"/>
      <c r="C803" s="20"/>
      <c r="D803" s="19"/>
      <c r="E803" s="20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20"/>
      <c r="Q803" s="19"/>
      <c r="R803" s="19"/>
      <c r="S803" s="19"/>
      <c r="T803" s="19"/>
      <c r="U803" s="19"/>
      <c r="V803" s="19"/>
      <c r="W803" s="20"/>
      <c r="X803" s="19"/>
      <c r="Y803" s="21"/>
      <c r="Z803" s="21"/>
      <c r="AA803" s="21"/>
      <c r="AB803" s="21"/>
      <c r="AC803" s="20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</row>
    <row r="804" spans="1:44" ht="15.6" x14ac:dyDescent="0.3">
      <c r="A804" s="19"/>
      <c r="B804" s="19"/>
      <c r="C804" s="20"/>
      <c r="D804" s="19"/>
      <c r="E804" s="20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20"/>
      <c r="Q804" s="19"/>
      <c r="R804" s="19"/>
      <c r="S804" s="19"/>
      <c r="T804" s="19"/>
      <c r="U804" s="19"/>
      <c r="V804" s="19"/>
      <c r="W804" s="20"/>
      <c r="X804" s="19"/>
      <c r="Y804" s="21"/>
      <c r="Z804" s="21"/>
      <c r="AA804" s="21"/>
      <c r="AB804" s="21"/>
      <c r="AC804" s="20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</row>
    <row r="805" spans="1:44" ht="15.6" x14ac:dyDescent="0.3">
      <c r="A805" s="19"/>
      <c r="B805" s="19"/>
      <c r="C805" s="20"/>
      <c r="D805" s="19"/>
      <c r="E805" s="20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20"/>
      <c r="Q805" s="19"/>
      <c r="R805" s="19"/>
      <c r="S805" s="19"/>
      <c r="T805" s="19"/>
      <c r="U805" s="19"/>
      <c r="V805" s="19"/>
      <c r="W805" s="20"/>
      <c r="X805" s="19"/>
      <c r="Y805" s="21"/>
      <c r="Z805" s="21"/>
      <c r="AA805" s="21"/>
      <c r="AB805" s="21"/>
      <c r="AC805" s="20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</row>
    <row r="806" spans="1:44" ht="15.6" x14ac:dyDescent="0.3">
      <c r="A806" s="19"/>
      <c r="B806" s="19"/>
      <c r="C806" s="20"/>
      <c r="D806" s="19"/>
      <c r="E806" s="20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20"/>
      <c r="Q806" s="19"/>
      <c r="R806" s="19"/>
      <c r="S806" s="19"/>
      <c r="T806" s="19"/>
      <c r="U806" s="19"/>
      <c r="V806" s="19"/>
      <c r="W806" s="20"/>
      <c r="X806" s="19"/>
      <c r="Y806" s="21"/>
      <c r="Z806" s="21"/>
      <c r="AA806" s="21"/>
      <c r="AB806" s="21"/>
      <c r="AC806" s="20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</row>
    <row r="807" spans="1:44" ht="15.6" x14ac:dyDescent="0.3">
      <c r="A807" s="19"/>
      <c r="B807" s="19"/>
      <c r="C807" s="20"/>
      <c r="D807" s="19"/>
      <c r="E807" s="20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20"/>
      <c r="Q807" s="19"/>
      <c r="R807" s="19"/>
      <c r="S807" s="19"/>
      <c r="T807" s="19"/>
      <c r="U807" s="19"/>
      <c r="V807" s="19"/>
      <c r="W807" s="20"/>
      <c r="X807" s="19"/>
      <c r="Y807" s="21"/>
      <c r="Z807" s="21"/>
      <c r="AA807" s="21"/>
      <c r="AB807" s="21"/>
      <c r="AC807" s="20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</row>
    <row r="808" spans="1:44" ht="15.6" x14ac:dyDescent="0.3">
      <c r="A808" s="19"/>
      <c r="B808" s="19"/>
      <c r="C808" s="20"/>
      <c r="D808" s="19"/>
      <c r="E808" s="20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20"/>
      <c r="Q808" s="19"/>
      <c r="R808" s="19"/>
      <c r="S808" s="19"/>
      <c r="T808" s="19"/>
      <c r="U808" s="19"/>
      <c r="V808" s="19"/>
      <c r="W808" s="20"/>
      <c r="X808" s="19"/>
      <c r="Y808" s="21"/>
      <c r="Z808" s="21"/>
      <c r="AA808" s="21"/>
      <c r="AB808" s="21"/>
      <c r="AC808" s="20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</row>
    <row r="809" spans="1:44" ht="15.6" x14ac:dyDescent="0.3">
      <c r="A809" s="19"/>
      <c r="B809" s="19"/>
      <c r="C809" s="20"/>
      <c r="D809" s="19"/>
      <c r="E809" s="20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20"/>
      <c r="Q809" s="19"/>
      <c r="R809" s="19"/>
      <c r="S809" s="19"/>
      <c r="T809" s="19"/>
      <c r="U809" s="19"/>
      <c r="V809" s="19"/>
      <c r="W809" s="20"/>
      <c r="X809" s="19"/>
      <c r="Y809" s="21"/>
      <c r="Z809" s="21"/>
      <c r="AA809" s="21"/>
      <c r="AB809" s="21"/>
      <c r="AC809" s="20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</row>
    <row r="810" spans="1:44" ht="15.6" x14ac:dyDescent="0.3">
      <c r="A810" s="19"/>
      <c r="B810" s="19"/>
      <c r="C810" s="20"/>
      <c r="D810" s="19"/>
      <c r="E810" s="20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20"/>
      <c r="Q810" s="19"/>
      <c r="R810" s="19"/>
      <c r="S810" s="19"/>
      <c r="T810" s="19"/>
      <c r="U810" s="19"/>
      <c r="V810" s="19"/>
      <c r="W810" s="20"/>
      <c r="X810" s="19"/>
      <c r="Y810" s="21"/>
      <c r="Z810" s="21"/>
      <c r="AA810" s="21"/>
      <c r="AB810" s="21"/>
      <c r="AC810" s="20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</row>
    <row r="811" spans="1:44" ht="15.6" x14ac:dyDescent="0.3">
      <c r="A811" s="19"/>
      <c r="B811" s="19"/>
      <c r="C811" s="20"/>
      <c r="D811" s="19"/>
      <c r="E811" s="20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20"/>
      <c r="Q811" s="19"/>
      <c r="R811" s="19"/>
      <c r="S811" s="19"/>
      <c r="T811" s="19"/>
      <c r="U811" s="19"/>
      <c r="V811" s="19"/>
      <c r="W811" s="20"/>
      <c r="X811" s="19"/>
      <c r="Y811" s="21"/>
      <c r="Z811" s="21"/>
      <c r="AA811" s="21"/>
      <c r="AB811" s="21"/>
      <c r="AC811" s="20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</row>
    <row r="812" spans="1:44" ht="15.6" x14ac:dyDescent="0.3">
      <c r="A812" s="19"/>
      <c r="B812" s="19"/>
      <c r="C812" s="20"/>
      <c r="D812" s="19"/>
      <c r="E812" s="20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20"/>
      <c r="Q812" s="19"/>
      <c r="R812" s="19"/>
      <c r="S812" s="19"/>
      <c r="T812" s="19"/>
      <c r="U812" s="19"/>
      <c r="V812" s="19"/>
      <c r="W812" s="20"/>
      <c r="X812" s="19"/>
      <c r="Y812" s="21"/>
      <c r="Z812" s="21"/>
      <c r="AA812" s="21"/>
      <c r="AB812" s="21"/>
      <c r="AC812" s="20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</row>
    <row r="813" spans="1:44" ht="15.6" x14ac:dyDescent="0.3">
      <c r="A813" s="19"/>
      <c r="B813" s="19"/>
      <c r="C813" s="20"/>
      <c r="D813" s="19"/>
      <c r="E813" s="20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20"/>
      <c r="Q813" s="19"/>
      <c r="R813" s="19"/>
      <c r="S813" s="19"/>
      <c r="T813" s="19"/>
      <c r="U813" s="19"/>
      <c r="V813" s="19"/>
      <c r="W813" s="20"/>
      <c r="X813" s="19"/>
      <c r="Y813" s="21"/>
      <c r="Z813" s="21"/>
      <c r="AA813" s="21"/>
      <c r="AB813" s="21"/>
      <c r="AC813" s="20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</row>
    <row r="814" spans="1:44" ht="15.6" x14ac:dyDescent="0.3">
      <c r="A814" s="19"/>
      <c r="B814" s="19"/>
      <c r="C814" s="20"/>
      <c r="D814" s="19"/>
      <c r="E814" s="20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20"/>
      <c r="Q814" s="19"/>
      <c r="R814" s="19"/>
      <c r="S814" s="19"/>
      <c r="T814" s="19"/>
      <c r="U814" s="19"/>
      <c r="V814" s="19"/>
      <c r="W814" s="20"/>
      <c r="X814" s="19"/>
      <c r="Y814" s="21"/>
      <c r="Z814" s="21"/>
      <c r="AA814" s="21"/>
      <c r="AB814" s="21"/>
      <c r="AC814" s="20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</row>
    <row r="815" spans="1:44" ht="15.6" x14ac:dyDescent="0.3">
      <c r="A815" s="19"/>
      <c r="B815" s="19"/>
      <c r="C815" s="20"/>
      <c r="D815" s="19"/>
      <c r="E815" s="20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20"/>
      <c r="Q815" s="19"/>
      <c r="R815" s="19"/>
      <c r="S815" s="19"/>
      <c r="T815" s="19"/>
      <c r="U815" s="19"/>
      <c r="V815" s="19"/>
      <c r="W815" s="20"/>
      <c r="X815" s="19"/>
      <c r="Y815" s="21"/>
      <c r="Z815" s="21"/>
      <c r="AA815" s="21"/>
      <c r="AB815" s="21"/>
      <c r="AC815" s="20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</row>
    <row r="816" spans="1:44" ht="15.6" x14ac:dyDescent="0.3">
      <c r="A816" s="19"/>
      <c r="B816" s="19"/>
      <c r="C816" s="20"/>
      <c r="D816" s="19"/>
      <c r="E816" s="20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20"/>
      <c r="Q816" s="19"/>
      <c r="R816" s="19"/>
      <c r="S816" s="19"/>
      <c r="T816" s="19"/>
      <c r="U816" s="19"/>
      <c r="V816" s="19"/>
      <c r="W816" s="20"/>
      <c r="X816" s="19"/>
      <c r="Y816" s="21"/>
      <c r="Z816" s="21"/>
      <c r="AA816" s="21"/>
      <c r="AB816" s="21"/>
      <c r="AC816" s="20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</row>
    <row r="817" spans="1:44" ht="15.6" x14ac:dyDescent="0.3">
      <c r="A817" s="19"/>
      <c r="B817" s="19"/>
      <c r="C817" s="20"/>
      <c r="D817" s="19"/>
      <c r="E817" s="20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20"/>
      <c r="Q817" s="19"/>
      <c r="R817" s="19"/>
      <c r="S817" s="19"/>
      <c r="T817" s="19"/>
      <c r="U817" s="19"/>
      <c r="V817" s="19"/>
      <c r="W817" s="20"/>
      <c r="X817" s="19"/>
      <c r="Y817" s="21"/>
      <c r="Z817" s="21"/>
      <c r="AA817" s="21"/>
      <c r="AB817" s="21"/>
      <c r="AC817" s="20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</row>
    <row r="818" spans="1:44" ht="15.6" x14ac:dyDescent="0.3">
      <c r="A818" s="19"/>
      <c r="B818" s="19"/>
      <c r="C818" s="20"/>
      <c r="D818" s="19"/>
      <c r="E818" s="20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20"/>
      <c r="Q818" s="19"/>
      <c r="R818" s="19"/>
      <c r="S818" s="19"/>
      <c r="T818" s="19"/>
      <c r="U818" s="19"/>
      <c r="V818" s="19"/>
      <c r="W818" s="20"/>
      <c r="X818" s="19"/>
      <c r="Y818" s="21"/>
      <c r="Z818" s="21"/>
      <c r="AA818" s="21"/>
      <c r="AB818" s="21"/>
      <c r="AC818" s="20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</row>
    <row r="819" spans="1:44" ht="15.6" x14ac:dyDescent="0.3">
      <c r="A819" s="19"/>
      <c r="B819" s="19"/>
      <c r="C819" s="20"/>
      <c r="D819" s="19"/>
      <c r="E819" s="20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20"/>
      <c r="Q819" s="19"/>
      <c r="R819" s="19"/>
      <c r="S819" s="19"/>
      <c r="T819" s="19"/>
      <c r="U819" s="19"/>
      <c r="V819" s="19"/>
      <c r="W819" s="20"/>
      <c r="X819" s="19"/>
      <c r="Y819" s="21"/>
      <c r="Z819" s="21"/>
      <c r="AA819" s="21"/>
      <c r="AB819" s="21"/>
      <c r="AC819" s="20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</row>
    <row r="820" spans="1:44" ht="15.6" x14ac:dyDescent="0.3">
      <c r="A820" s="19"/>
      <c r="B820" s="19"/>
      <c r="C820" s="20"/>
      <c r="D820" s="19"/>
      <c r="E820" s="20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20"/>
      <c r="Q820" s="19"/>
      <c r="R820" s="19"/>
      <c r="S820" s="19"/>
      <c r="T820" s="19"/>
      <c r="U820" s="19"/>
      <c r="V820" s="19"/>
      <c r="W820" s="20"/>
      <c r="X820" s="19"/>
      <c r="Y820" s="21"/>
      <c r="Z820" s="21"/>
      <c r="AA820" s="21"/>
      <c r="AB820" s="21"/>
      <c r="AC820" s="20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</row>
    <row r="821" spans="1:44" ht="15.6" x14ac:dyDescent="0.3">
      <c r="A821" s="19"/>
      <c r="B821" s="19"/>
      <c r="C821" s="20"/>
      <c r="D821" s="19"/>
      <c r="E821" s="20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20"/>
      <c r="Q821" s="19"/>
      <c r="R821" s="19"/>
      <c r="S821" s="19"/>
      <c r="T821" s="19"/>
      <c r="U821" s="19"/>
      <c r="V821" s="19"/>
      <c r="W821" s="20"/>
      <c r="X821" s="19"/>
      <c r="Y821" s="21"/>
      <c r="Z821" s="21"/>
      <c r="AA821" s="21"/>
      <c r="AB821" s="21"/>
      <c r="AC821" s="20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</row>
    <row r="822" spans="1:44" ht="15.6" x14ac:dyDescent="0.3">
      <c r="A822" s="19"/>
      <c r="B822" s="19"/>
      <c r="C822" s="20"/>
      <c r="D822" s="19"/>
      <c r="E822" s="20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20"/>
      <c r="Q822" s="19"/>
      <c r="R822" s="19"/>
      <c r="S822" s="19"/>
      <c r="T822" s="19"/>
      <c r="U822" s="19"/>
      <c r="V822" s="19"/>
      <c r="W822" s="20"/>
      <c r="X822" s="19"/>
      <c r="Y822" s="21"/>
      <c r="Z822" s="21"/>
      <c r="AA822" s="21"/>
      <c r="AB822" s="21"/>
      <c r="AC822" s="20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</row>
    <row r="823" spans="1:44" ht="15.6" x14ac:dyDescent="0.3">
      <c r="A823" s="19"/>
      <c r="B823" s="19"/>
      <c r="C823" s="20"/>
      <c r="D823" s="19"/>
      <c r="E823" s="20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20"/>
      <c r="Q823" s="19"/>
      <c r="R823" s="19"/>
      <c r="S823" s="19"/>
      <c r="T823" s="19"/>
      <c r="U823" s="19"/>
      <c r="V823" s="19"/>
      <c r="W823" s="20"/>
      <c r="X823" s="19"/>
      <c r="Y823" s="21"/>
      <c r="Z823" s="21"/>
      <c r="AA823" s="21"/>
      <c r="AB823" s="21"/>
      <c r="AC823" s="20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</row>
    <row r="824" spans="1:44" ht="15.6" x14ac:dyDescent="0.3">
      <c r="A824" s="19"/>
      <c r="B824" s="19"/>
      <c r="C824" s="20"/>
      <c r="D824" s="19"/>
      <c r="E824" s="20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20"/>
      <c r="Q824" s="19"/>
      <c r="R824" s="19"/>
      <c r="S824" s="19"/>
      <c r="T824" s="19"/>
      <c r="U824" s="19"/>
      <c r="V824" s="19"/>
      <c r="W824" s="20"/>
      <c r="X824" s="19"/>
      <c r="Y824" s="21"/>
      <c r="Z824" s="21"/>
      <c r="AA824" s="21"/>
      <c r="AB824" s="21"/>
      <c r="AC824" s="20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</row>
    <row r="825" spans="1:44" ht="15.6" x14ac:dyDescent="0.3">
      <c r="A825" s="19"/>
      <c r="B825" s="19"/>
      <c r="C825" s="20"/>
      <c r="D825" s="19"/>
      <c r="E825" s="20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20"/>
      <c r="Q825" s="19"/>
      <c r="R825" s="19"/>
      <c r="S825" s="19"/>
      <c r="T825" s="19"/>
      <c r="U825" s="19"/>
      <c r="V825" s="19"/>
      <c r="W825" s="20"/>
      <c r="X825" s="19"/>
      <c r="Y825" s="21"/>
      <c r="Z825" s="21"/>
      <c r="AA825" s="21"/>
      <c r="AB825" s="21"/>
      <c r="AC825" s="20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</row>
    <row r="826" spans="1:44" ht="15.6" x14ac:dyDescent="0.3">
      <c r="A826" s="19"/>
      <c r="B826" s="19"/>
      <c r="C826" s="20"/>
      <c r="D826" s="19"/>
      <c r="E826" s="20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20"/>
      <c r="Q826" s="19"/>
      <c r="R826" s="19"/>
      <c r="S826" s="19"/>
      <c r="T826" s="19"/>
      <c r="U826" s="19"/>
      <c r="V826" s="19"/>
      <c r="W826" s="20"/>
      <c r="X826" s="19"/>
      <c r="Y826" s="21"/>
      <c r="Z826" s="21"/>
      <c r="AA826" s="21"/>
      <c r="AB826" s="21"/>
      <c r="AC826" s="20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</row>
    <row r="827" spans="1:44" ht="15.6" x14ac:dyDescent="0.3">
      <c r="A827" s="19"/>
      <c r="B827" s="19"/>
      <c r="C827" s="20"/>
      <c r="D827" s="19"/>
      <c r="E827" s="20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20"/>
      <c r="Q827" s="19"/>
      <c r="R827" s="19"/>
      <c r="S827" s="19"/>
      <c r="T827" s="19"/>
      <c r="U827" s="19"/>
      <c r="V827" s="19"/>
      <c r="W827" s="20"/>
      <c r="X827" s="19"/>
      <c r="Y827" s="21"/>
      <c r="Z827" s="21"/>
      <c r="AA827" s="21"/>
      <c r="AB827" s="21"/>
      <c r="AC827" s="20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</row>
    <row r="828" spans="1:44" ht="15.6" x14ac:dyDescent="0.3">
      <c r="A828" s="19"/>
      <c r="B828" s="19"/>
      <c r="C828" s="20"/>
      <c r="D828" s="19"/>
      <c r="E828" s="20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20"/>
      <c r="Q828" s="19"/>
      <c r="R828" s="19"/>
      <c r="S828" s="19"/>
      <c r="T828" s="19"/>
      <c r="U828" s="19"/>
      <c r="V828" s="19"/>
      <c r="W828" s="20"/>
      <c r="X828" s="19"/>
      <c r="Y828" s="21"/>
      <c r="Z828" s="21"/>
      <c r="AA828" s="21"/>
      <c r="AB828" s="21"/>
      <c r="AC828" s="20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</row>
    <row r="829" spans="1:44" ht="15.6" x14ac:dyDescent="0.3">
      <c r="A829" s="19"/>
      <c r="B829" s="19"/>
      <c r="C829" s="20"/>
      <c r="D829" s="19"/>
      <c r="E829" s="20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20"/>
      <c r="Q829" s="19"/>
      <c r="R829" s="19"/>
      <c r="S829" s="19"/>
      <c r="T829" s="19"/>
      <c r="U829" s="19"/>
      <c r="V829" s="19"/>
      <c r="W829" s="20"/>
      <c r="X829" s="19"/>
      <c r="Y829" s="21"/>
      <c r="Z829" s="21"/>
      <c r="AA829" s="21"/>
      <c r="AB829" s="21"/>
      <c r="AC829" s="20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</row>
    <row r="830" spans="1:44" ht="15.6" x14ac:dyDescent="0.3">
      <c r="A830" s="19"/>
      <c r="B830" s="19"/>
      <c r="C830" s="20"/>
      <c r="D830" s="19"/>
      <c r="E830" s="20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20"/>
      <c r="Q830" s="19"/>
      <c r="R830" s="19"/>
      <c r="S830" s="19"/>
      <c r="T830" s="19"/>
      <c r="U830" s="19"/>
      <c r="V830" s="19"/>
      <c r="W830" s="20"/>
      <c r="X830" s="19"/>
      <c r="Y830" s="21"/>
      <c r="Z830" s="21"/>
      <c r="AA830" s="21"/>
      <c r="AB830" s="21"/>
      <c r="AC830" s="20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</row>
    <row r="831" spans="1:44" ht="15.6" x14ac:dyDescent="0.3">
      <c r="A831" s="19"/>
      <c r="B831" s="19"/>
      <c r="C831" s="20"/>
      <c r="D831" s="19"/>
      <c r="E831" s="20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20"/>
      <c r="Q831" s="19"/>
      <c r="R831" s="19"/>
      <c r="S831" s="19"/>
      <c r="T831" s="19"/>
      <c r="U831" s="19"/>
      <c r="V831" s="19"/>
      <c r="W831" s="20"/>
      <c r="X831" s="19"/>
      <c r="Y831" s="21"/>
      <c r="Z831" s="21"/>
      <c r="AA831" s="21"/>
      <c r="AB831" s="21"/>
      <c r="AC831" s="20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</row>
    <row r="832" spans="1:44" ht="15.6" x14ac:dyDescent="0.3">
      <c r="A832" s="19"/>
      <c r="B832" s="19"/>
      <c r="C832" s="20"/>
      <c r="D832" s="19"/>
      <c r="E832" s="20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20"/>
      <c r="Q832" s="19"/>
      <c r="R832" s="19"/>
      <c r="S832" s="19"/>
      <c r="T832" s="19"/>
      <c r="U832" s="19"/>
      <c r="V832" s="19"/>
      <c r="W832" s="20"/>
      <c r="X832" s="19"/>
      <c r="Y832" s="21"/>
      <c r="Z832" s="21"/>
      <c r="AA832" s="21"/>
      <c r="AB832" s="21"/>
      <c r="AC832" s="20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</row>
    <row r="833" spans="1:44" ht="15.6" x14ac:dyDescent="0.3">
      <c r="A833" s="19"/>
      <c r="B833" s="19"/>
      <c r="C833" s="20"/>
      <c r="D833" s="19"/>
      <c r="E833" s="20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20"/>
      <c r="Q833" s="19"/>
      <c r="R833" s="19"/>
      <c r="S833" s="19"/>
      <c r="T833" s="19"/>
      <c r="U833" s="19"/>
      <c r="V833" s="19"/>
      <c r="W833" s="20"/>
      <c r="X833" s="19"/>
      <c r="Y833" s="21"/>
      <c r="Z833" s="21"/>
      <c r="AA833" s="21"/>
      <c r="AB833" s="21"/>
      <c r="AC833" s="20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</row>
    <row r="834" spans="1:44" ht="15.6" x14ac:dyDescent="0.3">
      <c r="A834" s="19"/>
      <c r="B834" s="19"/>
      <c r="C834" s="20"/>
      <c r="D834" s="19"/>
      <c r="E834" s="20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20"/>
      <c r="Q834" s="19"/>
      <c r="R834" s="19"/>
      <c r="S834" s="19"/>
      <c r="T834" s="19"/>
      <c r="U834" s="19"/>
      <c r="V834" s="19"/>
      <c r="W834" s="20"/>
      <c r="X834" s="19"/>
      <c r="Y834" s="21"/>
      <c r="Z834" s="21"/>
      <c r="AA834" s="21"/>
      <c r="AB834" s="21"/>
      <c r="AC834" s="20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</row>
    <row r="835" spans="1:44" ht="15.6" x14ac:dyDescent="0.3">
      <c r="A835" s="19"/>
      <c r="B835" s="19"/>
      <c r="C835" s="20"/>
      <c r="D835" s="19"/>
      <c r="E835" s="20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20"/>
      <c r="Q835" s="19"/>
      <c r="R835" s="19"/>
      <c r="S835" s="19"/>
      <c r="T835" s="19"/>
      <c r="U835" s="19"/>
      <c r="V835" s="19"/>
      <c r="W835" s="20"/>
      <c r="X835" s="19"/>
      <c r="Y835" s="21"/>
      <c r="Z835" s="21"/>
      <c r="AA835" s="21"/>
      <c r="AB835" s="21"/>
      <c r="AC835" s="20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</row>
    <row r="836" spans="1:44" ht="15.6" x14ac:dyDescent="0.3">
      <c r="A836" s="19"/>
      <c r="B836" s="19"/>
      <c r="C836" s="20"/>
      <c r="D836" s="19"/>
      <c r="E836" s="20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20"/>
      <c r="Q836" s="19"/>
      <c r="R836" s="19"/>
      <c r="S836" s="19"/>
      <c r="T836" s="19"/>
      <c r="U836" s="19"/>
      <c r="V836" s="19"/>
      <c r="W836" s="20"/>
      <c r="X836" s="19"/>
      <c r="Y836" s="21"/>
      <c r="Z836" s="21"/>
      <c r="AA836" s="21"/>
      <c r="AB836" s="21"/>
      <c r="AC836" s="20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</row>
    <row r="837" spans="1:44" ht="15.6" x14ac:dyDescent="0.3">
      <c r="A837" s="19"/>
      <c r="B837" s="19"/>
      <c r="C837" s="20"/>
      <c r="D837" s="19"/>
      <c r="E837" s="20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20"/>
      <c r="Q837" s="19"/>
      <c r="R837" s="19"/>
      <c r="S837" s="19"/>
      <c r="T837" s="19"/>
      <c r="U837" s="19"/>
      <c r="V837" s="19"/>
      <c r="W837" s="20"/>
      <c r="X837" s="19"/>
      <c r="Y837" s="21"/>
      <c r="Z837" s="21"/>
      <c r="AA837" s="21"/>
      <c r="AB837" s="21"/>
      <c r="AC837" s="20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</row>
    <row r="838" spans="1:44" ht="15.6" x14ac:dyDescent="0.3">
      <c r="A838" s="19"/>
      <c r="B838" s="19"/>
      <c r="C838" s="20"/>
      <c r="D838" s="19"/>
      <c r="E838" s="20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20"/>
      <c r="Q838" s="19"/>
      <c r="R838" s="19"/>
      <c r="S838" s="19"/>
      <c r="T838" s="19"/>
      <c r="U838" s="19"/>
      <c r="V838" s="19"/>
      <c r="W838" s="20"/>
      <c r="X838" s="19"/>
      <c r="Y838" s="21"/>
      <c r="Z838" s="21"/>
      <c r="AA838" s="21"/>
      <c r="AB838" s="21"/>
      <c r="AC838" s="20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</row>
    <row r="839" spans="1:44" ht="15.6" x14ac:dyDescent="0.3">
      <c r="A839" s="19"/>
      <c r="B839" s="19"/>
      <c r="C839" s="20"/>
      <c r="D839" s="19"/>
      <c r="E839" s="20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20"/>
      <c r="Q839" s="19"/>
      <c r="R839" s="19"/>
      <c r="S839" s="19"/>
      <c r="T839" s="19"/>
      <c r="U839" s="19"/>
      <c r="V839" s="19"/>
      <c r="W839" s="20"/>
      <c r="X839" s="19"/>
      <c r="Y839" s="21"/>
      <c r="Z839" s="21"/>
      <c r="AA839" s="21"/>
      <c r="AB839" s="21"/>
      <c r="AC839" s="20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</row>
    <row r="840" spans="1:44" ht="15.6" x14ac:dyDescent="0.3">
      <c r="A840" s="19"/>
      <c r="B840" s="19"/>
      <c r="C840" s="20"/>
      <c r="D840" s="19"/>
      <c r="E840" s="20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20"/>
      <c r="Q840" s="19"/>
      <c r="R840" s="19"/>
      <c r="S840" s="19"/>
      <c r="T840" s="19"/>
      <c r="U840" s="19"/>
      <c r="V840" s="19"/>
      <c r="W840" s="20"/>
      <c r="X840" s="19"/>
      <c r="Y840" s="21"/>
      <c r="Z840" s="21"/>
      <c r="AA840" s="21"/>
      <c r="AB840" s="21"/>
      <c r="AC840" s="20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</row>
    <row r="841" spans="1:44" ht="15.6" x14ac:dyDescent="0.3">
      <c r="A841" s="19"/>
      <c r="B841" s="19"/>
      <c r="C841" s="20"/>
      <c r="D841" s="19"/>
      <c r="E841" s="20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20"/>
      <c r="Q841" s="19"/>
      <c r="R841" s="19"/>
      <c r="S841" s="19"/>
      <c r="T841" s="19"/>
      <c r="U841" s="19"/>
      <c r="V841" s="19"/>
      <c r="W841" s="20"/>
      <c r="X841" s="19"/>
      <c r="Y841" s="21"/>
      <c r="Z841" s="21"/>
      <c r="AA841" s="21"/>
      <c r="AB841" s="21"/>
      <c r="AC841" s="20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</row>
    <row r="842" spans="1:44" ht="15.6" x14ac:dyDescent="0.3">
      <c r="A842" s="19"/>
      <c r="B842" s="19"/>
      <c r="C842" s="20"/>
      <c r="D842" s="19"/>
      <c r="E842" s="20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20"/>
      <c r="Q842" s="19"/>
      <c r="R842" s="19"/>
      <c r="S842" s="19"/>
      <c r="T842" s="19"/>
      <c r="U842" s="19"/>
      <c r="V842" s="19"/>
      <c r="W842" s="20"/>
      <c r="X842" s="19"/>
      <c r="Y842" s="21"/>
      <c r="Z842" s="21"/>
      <c r="AA842" s="21"/>
      <c r="AB842" s="21"/>
      <c r="AC842" s="20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</row>
    <row r="843" spans="1:44" ht="15.6" x14ac:dyDescent="0.3">
      <c r="A843" s="19"/>
      <c r="B843" s="19"/>
      <c r="C843" s="20"/>
      <c r="D843" s="19"/>
      <c r="E843" s="20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20"/>
      <c r="Q843" s="19"/>
      <c r="R843" s="19"/>
      <c r="S843" s="19"/>
      <c r="T843" s="19"/>
      <c r="U843" s="19"/>
      <c r="V843" s="19"/>
      <c r="W843" s="20"/>
      <c r="X843" s="19"/>
      <c r="Y843" s="21"/>
      <c r="Z843" s="21"/>
      <c r="AA843" s="21"/>
      <c r="AB843" s="21"/>
      <c r="AC843" s="20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</row>
    <row r="844" spans="1:44" ht="15.6" x14ac:dyDescent="0.3">
      <c r="A844" s="19"/>
      <c r="B844" s="19"/>
      <c r="C844" s="20"/>
      <c r="D844" s="19"/>
      <c r="E844" s="20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20"/>
      <c r="Q844" s="19"/>
      <c r="R844" s="19"/>
      <c r="S844" s="19"/>
      <c r="T844" s="19"/>
      <c r="U844" s="19"/>
      <c r="V844" s="19"/>
      <c r="W844" s="20"/>
      <c r="X844" s="19"/>
      <c r="Y844" s="21"/>
      <c r="Z844" s="21"/>
      <c r="AA844" s="21"/>
      <c r="AB844" s="21"/>
      <c r="AC844" s="20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</row>
    <row r="845" spans="1:44" ht="15.6" x14ac:dyDescent="0.3">
      <c r="A845" s="19"/>
      <c r="B845" s="19"/>
      <c r="C845" s="20"/>
      <c r="D845" s="19"/>
      <c r="E845" s="20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20"/>
      <c r="Q845" s="19"/>
      <c r="R845" s="19"/>
      <c r="S845" s="19"/>
      <c r="T845" s="19"/>
      <c r="U845" s="19"/>
      <c r="V845" s="19"/>
      <c r="W845" s="20"/>
      <c r="X845" s="19"/>
      <c r="Y845" s="21"/>
      <c r="Z845" s="21"/>
      <c r="AA845" s="21"/>
      <c r="AB845" s="21"/>
      <c r="AC845" s="20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</row>
    <row r="846" spans="1:44" ht="15.6" x14ac:dyDescent="0.3">
      <c r="A846" s="19"/>
      <c r="B846" s="19"/>
      <c r="C846" s="20"/>
      <c r="D846" s="19"/>
      <c r="E846" s="20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20"/>
      <c r="Q846" s="19"/>
      <c r="R846" s="19"/>
      <c r="S846" s="19"/>
      <c r="T846" s="19"/>
      <c r="U846" s="19"/>
      <c r="V846" s="19"/>
      <c r="W846" s="20"/>
      <c r="X846" s="19"/>
      <c r="Y846" s="21"/>
      <c r="Z846" s="21"/>
      <c r="AA846" s="21"/>
      <c r="AB846" s="21"/>
      <c r="AC846" s="20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</row>
    <row r="847" spans="1:44" ht="15.6" x14ac:dyDescent="0.3">
      <c r="A847" s="19"/>
      <c r="B847" s="19"/>
      <c r="C847" s="20"/>
      <c r="D847" s="19"/>
      <c r="E847" s="20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20"/>
      <c r="Q847" s="19"/>
      <c r="R847" s="19"/>
      <c r="S847" s="19"/>
      <c r="T847" s="19"/>
      <c r="U847" s="19"/>
      <c r="V847" s="19"/>
      <c r="W847" s="20"/>
      <c r="X847" s="19"/>
      <c r="Y847" s="21"/>
      <c r="Z847" s="21"/>
      <c r="AA847" s="21"/>
      <c r="AB847" s="21"/>
      <c r="AC847" s="20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</row>
    <row r="848" spans="1:44" ht="15.6" x14ac:dyDescent="0.3">
      <c r="A848" s="19"/>
      <c r="B848" s="19"/>
      <c r="C848" s="20"/>
      <c r="D848" s="19"/>
      <c r="E848" s="20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20"/>
      <c r="Q848" s="19"/>
      <c r="R848" s="19"/>
      <c r="S848" s="19"/>
      <c r="T848" s="19"/>
      <c r="U848" s="19"/>
      <c r="V848" s="19"/>
      <c r="W848" s="20"/>
      <c r="X848" s="19"/>
      <c r="Y848" s="21"/>
      <c r="Z848" s="21"/>
      <c r="AA848" s="21"/>
      <c r="AB848" s="21"/>
      <c r="AC848" s="20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</row>
    <row r="849" spans="1:44" ht="15.6" x14ac:dyDescent="0.3">
      <c r="A849" s="19"/>
      <c r="B849" s="19"/>
      <c r="C849" s="20"/>
      <c r="D849" s="19"/>
      <c r="E849" s="20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20"/>
      <c r="Q849" s="19"/>
      <c r="R849" s="19"/>
      <c r="S849" s="19"/>
      <c r="T849" s="19"/>
      <c r="U849" s="19"/>
      <c r="V849" s="19"/>
      <c r="W849" s="20"/>
      <c r="X849" s="19"/>
      <c r="Y849" s="21"/>
      <c r="Z849" s="21"/>
      <c r="AA849" s="21"/>
      <c r="AB849" s="21"/>
      <c r="AC849" s="20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</row>
    <row r="850" spans="1:44" ht="15.6" x14ac:dyDescent="0.3">
      <c r="A850" s="19"/>
      <c r="B850" s="19"/>
      <c r="C850" s="20"/>
      <c r="D850" s="19"/>
      <c r="E850" s="20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20"/>
      <c r="Q850" s="19"/>
      <c r="R850" s="19"/>
      <c r="S850" s="19"/>
      <c r="T850" s="19"/>
      <c r="U850" s="19"/>
      <c r="V850" s="19"/>
      <c r="W850" s="20"/>
      <c r="X850" s="19"/>
      <c r="Y850" s="21"/>
      <c r="Z850" s="21"/>
      <c r="AA850" s="21"/>
      <c r="AB850" s="21"/>
      <c r="AC850" s="20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</row>
    <row r="851" spans="1:44" ht="15.6" x14ac:dyDescent="0.3">
      <c r="A851" s="19"/>
      <c r="B851" s="19"/>
      <c r="C851" s="20"/>
      <c r="D851" s="19"/>
      <c r="E851" s="20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20"/>
      <c r="Q851" s="19"/>
      <c r="R851" s="19"/>
      <c r="S851" s="19"/>
      <c r="T851" s="19"/>
      <c r="U851" s="19"/>
      <c r="V851" s="19"/>
      <c r="W851" s="20"/>
      <c r="X851" s="19"/>
      <c r="Y851" s="21"/>
      <c r="Z851" s="21"/>
      <c r="AA851" s="21"/>
      <c r="AB851" s="21"/>
      <c r="AC851" s="20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</row>
    <row r="852" spans="1:44" ht="15.6" x14ac:dyDescent="0.3">
      <c r="A852" s="19"/>
      <c r="B852" s="19"/>
      <c r="C852" s="20"/>
      <c r="D852" s="19"/>
      <c r="E852" s="20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20"/>
      <c r="Q852" s="19"/>
      <c r="R852" s="19"/>
      <c r="S852" s="19"/>
      <c r="T852" s="19"/>
      <c r="U852" s="19"/>
      <c r="V852" s="19"/>
      <c r="W852" s="20"/>
      <c r="X852" s="19"/>
      <c r="Y852" s="21"/>
      <c r="Z852" s="21"/>
      <c r="AA852" s="21"/>
      <c r="AB852" s="21"/>
      <c r="AC852" s="20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</row>
    <row r="853" spans="1:44" ht="15.6" x14ac:dyDescent="0.3">
      <c r="A853" s="19"/>
      <c r="B853" s="19"/>
      <c r="C853" s="20"/>
      <c r="D853" s="19"/>
      <c r="E853" s="20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20"/>
      <c r="Q853" s="19"/>
      <c r="R853" s="19"/>
      <c r="S853" s="19"/>
      <c r="T853" s="19"/>
      <c r="U853" s="19"/>
      <c r="V853" s="19"/>
      <c r="W853" s="20"/>
      <c r="X853" s="19"/>
      <c r="Y853" s="21"/>
      <c r="Z853" s="21"/>
      <c r="AA853" s="21"/>
      <c r="AB853" s="21"/>
      <c r="AC853" s="20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</row>
    <row r="854" spans="1:44" ht="15.6" x14ac:dyDescent="0.3">
      <c r="A854" s="19"/>
      <c r="B854" s="19"/>
      <c r="C854" s="20"/>
      <c r="D854" s="19"/>
      <c r="E854" s="20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20"/>
      <c r="Q854" s="19"/>
      <c r="R854" s="19"/>
      <c r="S854" s="19"/>
      <c r="T854" s="19"/>
      <c r="U854" s="19"/>
      <c r="V854" s="19"/>
      <c r="W854" s="20"/>
      <c r="X854" s="19"/>
      <c r="Y854" s="21"/>
      <c r="Z854" s="21"/>
      <c r="AA854" s="21"/>
      <c r="AB854" s="21"/>
      <c r="AC854" s="20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</row>
    <row r="855" spans="1:44" ht="15.6" x14ac:dyDescent="0.3">
      <c r="A855" s="19"/>
      <c r="B855" s="19"/>
      <c r="C855" s="20"/>
      <c r="D855" s="19"/>
      <c r="E855" s="20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20"/>
      <c r="Q855" s="19"/>
      <c r="R855" s="19"/>
      <c r="S855" s="19"/>
      <c r="T855" s="19"/>
      <c r="U855" s="19"/>
      <c r="V855" s="19"/>
      <c r="W855" s="20"/>
      <c r="X855" s="19"/>
      <c r="Y855" s="21"/>
      <c r="Z855" s="21"/>
      <c r="AA855" s="21"/>
      <c r="AB855" s="21"/>
      <c r="AC855" s="20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</row>
    <row r="856" spans="1:44" ht="15.6" x14ac:dyDescent="0.3">
      <c r="A856" s="19"/>
      <c r="B856" s="19"/>
      <c r="C856" s="20"/>
      <c r="D856" s="19"/>
      <c r="E856" s="20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20"/>
      <c r="Q856" s="19"/>
      <c r="R856" s="19"/>
      <c r="S856" s="19"/>
      <c r="T856" s="19"/>
      <c r="U856" s="19"/>
      <c r="V856" s="19"/>
      <c r="W856" s="20"/>
      <c r="X856" s="19"/>
      <c r="Y856" s="21"/>
      <c r="Z856" s="21"/>
      <c r="AA856" s="21"/>
      <c r="AB856" s="21"/>
      <c r="AC856" s="20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</row>
    <row r="857" spans="1:44" ht="15.6" x14ac:dyDescent="0.3">
      <c r="A857" s="19"/>
      <c r="B857" s="19"/>
      <c r="C857" s="20"/>
      <c r="D857" s="19"/>
      <c r="E857" s="20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20"/>
      <c r="Q857" s="19"/>
      <c r="R857" s="19"/>
      <c r="S857" s="19"/>
      <c r="T857" s="19"/>
      <c r="U857" s="19"/>
      <c r="V857" s="19"/>
      <c r="W857" s="20"/>
      <c r="X857" s="19"/>
      <c r="Y857" s="21"/>
      <c r="Z857" s="21"/>
      <c r="AA857" s="21"/>
      <c r="AB857" s="21"/>
      <c r="AC857" s="20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</row>
    <row r="858" spans="1:44" ht="15.6" x14ac:dyDescent="0.3">
      <c r="A858" s="19"/>
      <c r="B858" s="19"/>
      <c r="C858" s="20"/>
      <c r="D858" s="19"/>
      <c r="E858" s="20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20"/>
      <c r="Q858" s="19"/>
      <c r="R858" s="19"/>
      <c r="S858" s="19"/>
      <c r="T858" s="19"/>
      <c r="U858" s="19"/>
      <c r="V858" s="19"/>
      <c r="W858" s="20"/>
      <c r="X858" s="19"/>
      <c r="Y858" s="21"/>
      <c r="Z858" s="21"/>
      <c r="AA858" s="21"/>
      <c r="AB858" s="21"/>
      <c r="AC858" s="20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</row>
    <row r="859" spans="1:44" ht="15.6" x14ac:dyDescent="0.3">
      <c r="A859" s="19"/>
      <c r="B859" s="19"/>
      <c r="C859" s="20"/>
      <c r="D859" s="19"/>
      <c r="E859" s="20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20"/>
      <c r="Q859" s="19"/>
      <c r="R859" s="19"/>
      <c r="S859" s="19"/>
      <c r="T859" s="19"/>
      <c r="U859" s="19"/>
      <c r="V859" s="19"/>
      <c r="W859" s="20"/>
      <c r="X859" s="19"/>
      <c r="Y859" s="21"/>
      <c r="Z859" s="21"/>
      <c r="AA859" s="21"/>
      <c r="AB859" s="21"/>
      <c r="AC859" s="20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</row>
    <row r="860" spans="1:44" ht="15.6" x14ac:dyDescent="0.3">
      <c r="A860" s="19"/>
      <c r="B860" s="19"/>
      <c r="C860" s="20"/>
      <c r="D860" s="19"/>
      <c r="E860" s="20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20"/>
      <c r="Q860" s="19"/>
      <c r="R860" s="19"/>
      <c r="S860" s="19"/>
      <c r="T860" s="19"/>
      <c r="U860" s="19"/>
      <c r="V860" s="19"/>
      <c r="W860" s="20"/>
      <c r="X860" s="19"/>
      <c r="Y860" s="21"/>
      <c r="Z860" s="21"/>
      <c r="AA860" s="21"/>
      <c r="AB860" s="21"/>
      <c r="AC860" s="20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</row>
    <row r="861" spans="1:44" ht="15.6" x14ac:dyDescent="0.3">
      <c r="A861" s="19"/>
      <c r="B861" s="19"/>
      <c r="C861" s="20"/>
      <c r="D861" s="19"/>
      <c r="E861" s="20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20"/>
      <c r="Q861" s="19"/>
      <c r="R861" s="19"/>
      <c r="S861" s="19"/>
      <c r="T861" s="19"/>
      <c r="U861" s="19"/>
      <c r="V861" s="19"/>
      <c r="W861" s="20"/>
      <c r="X861" s="19"/>
      <c r="Y861" s="21"/>
      <c r="Z861" s="21"/>
      <c r="AA861" s="21"/>
      <c r="AB861" s="21"/>
      <c r="AC861" s="20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</row>
    <row r="862" spans="1:44" ht="15.6" x14ac:dyDescent="0.3">
      <c r="A862" s="19"/>
      <c r="B862" s="19"/>
      <c r="C862" s="20"/>
      <c r="D862" s="19"/>
      <c r="E862" s="20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20"/>
      <c r="Q862" s="19"/>
      <c r="R862" s="19"/>
      <c r="S862" s="19"/>
      <c r="T862" s="19"/>
      <c r="U862" s="19"/>
      <c r="V862" s="19"/>
      <c r="W862" s="20"/>
      <c r="X862" s="19"/>
      <c r="Y862" s="21"/>
      <c r="Z862" s="21"/>
      <c r="AA862" s="21"/>
      <c r="AB862" s="21"/>
      <c r="AC862" s="20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</row>
    <row r="863" spans="1:44" ht="15.6" x14ac:dyDescent="0.3">
      <c r="A863" s="19"/>
      <c r="B863" s="19"/>
      <c r="C863" s="20"/>
      <c r="D863" s="19"/>
      <c r="E863" s="20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20"/>
      <c r="Q863" s="19"/>
      <c r="R863" s="19"/>
      <c r="S863" s="19"/>
      <c r="T863" s="19"/>
      <c r="U863" s="19"/>
      <c r="V863" s="19"/>
      <c r="W863" s="20"/>
      <c r="X863" s="19"/>
      <c r="Y863" s="21"/>
      <c r="Z863" s="21"/>
      <c r="AA863" s="21"/>
      <c r="AB863" s="21"/>
      <c r="AC863" s="20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</row>
    <row r="864" spans="1:44" ht="15.6" x14ac:dyDescent="0.3">
      <c r="A864" s="19"/>
      <c r="B864" s="19"/>
      <c r="C864" s="20"/>
      <c r="D864" s="19"/>
      <c r="E864" s="20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20"/>
      <c r="Q864" s="19"/>
      <c r="R864" s="19"/>
      <c r="S864" s="19"/>
      <c r="T864" s="19"/>
      <c r="U864" s="19"/>
      <c r="V864" s="19"/>
      <c r="W864" s="20"/>
      <c r="X864" s="19"/>
      <c r="Y864" s="21"/>
      <c r="Z864" s="21"/>
      <c r="AA864" s="21"/>
      <c r="AB864" s="21"/>
      <c r="AC864" s="20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</row>
    <row r="865" spans="1:44" ht="15.6" x14ac:dyDescent="0.3">
      <c r="A865" s="19"/>
      <c r="B865" s="19"/>
      <c r="C865" s="20"/>
      <c r="D865" s="19"/>
      <c r="E865" s="20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20"/>
      <c r="Q865" s="19"/>
      <c r="R865" s="19"/>
      <c r="S865" s="19"/>
      <c r="T865" s="19"/>
      <c r="U865" s="19"/>
      <c r="V865" s="19"/>
      <c r="W865" s="20"/>
      <c r="X865" s="19"/>
      <c r="Y865" s="21"/>
      <c r="Z865" s="21"/>
      <c r="AA865" s="21"/>
      <c r="AB865" s="21"/>
      <c r="AC865" s="20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</row>
    <row r="866" spans="1:44" ht="15.6" x14ac:dyDescent="0.3">
      <c r="A866" s="19"/>
      <c r="B866" s="19"/>
      <c r="C866" s="20"/>
      <c r="D866" s="19"/>
      <c r="E866" s="20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20"/>
      <c r="Q866" s="19"/>
      <c r="R866" s="19"/>
      <c r="S866" s="19"/>
      <c r="T866" s="19"/>
      <c r="U866" s="19"/>
      <c r="V866" s="19"/>
      <c r="W866" s="20"/>
      <c r="X866" s="19"/>
      <c r="Y866" s="21"/>
      <c r="Z866" s="21"/>
      <c r="AA866" s="21"/>
      <c r="AB866" s="21"/>
      <c r="AC866" s="20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</row>
    <row r="867" spans="1:44" ht="15.6" x14ac:dyDescent="0.3">
      <c r="A867" s="19"/>
      <c r="B867" s="19"/>
      <c r="C867" s="20"/>
      <c r="D867" s="19"/>
      <c r="E867" s="20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20"/>
      <c r="Q867" s="19"/>
      <c r="R867" s="19"/>
      <c r="S867" s="19"/>
      <c r="T867" s="19"/>
      <c r="U867" s="19"/>
      <c r="V867" s="19"/>
      <c r="W867" s="20"/>
      <c r="X867" s="19"/>
      <c r="Y867" s="21"/>
      <c r="Z867" s="21"/>
      <c r="AA867" s="21"/>
      <c r="AB867" s="21"/>
      <c r="AC867" s="20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</row>
    <row r="868" spans="1:44" ht="15.6" x14ac:dyDescent="0.3">
      <c r="A868" s="19"/>
      <c r="B868" s="19"/>
      <c r="C868" s="20"/>
      <c r="D868" s="19"/>
      <c r="E868" s="20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20"/>
      <c r="Q868" s="19"/>
      <c r="R868" s="19"/>
      <c r="S868" s="19"/>
      <c r="T868" s="19"/>
      <c r="U868" s="19"/>
      <c r="V868" s="19"/>
      <c r="W868" s="20"/>
      <c r="X868" s="19"/>
      <c r="Y868" s="21"/>
      <c r="Z868" s="21"/>
      <c r="AA868" s="21"/>
      <c r="AB868" s="21"/>
      <c r="AC868" s="20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</row>
    <row r="869" spans="1:44" ht="15.6" x14ac:dyDescent="0.3">
      <c r="A869" s="19"/>
      <c r="B869" s="19"/>
      <c r="C869" s="20"/>
      <c r="D869" s="19"/>
      <c r="E869" s="20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20"/>
      <c r="Q869" s="19"/>
      <c r="R869" s="19"/>
      <c r="S869" s="19"/>
      <c r="T869" s="19"/>
      <c r="U869" s="19"/>
      <c r="V869" s="19"/>
      <c r="W869" s="20"/>
      <c r="X869" s="19"/>
      <c r="Y869" s="21"/>
      <c r="Z869" s="21"/>
      <c r="AA869" s="21"/>
      <c r="AB869" s="21"/>
      <c r="AC869" s="20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</row>
    <row r="870" spans="1:44" ht="15.6" x14ac:dyDescent="0.3">
      <c r="A870" s="19"/>
      <c r="B870" s="19"/>
      <c r="C870" s="20"/>
      <c r="D870" s="19"/>
      <c r="E870" s="20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20"/>
      <c r="Q870" s="19"/>
      <c r="R870" s="19"/>
      <c r="S870" s="19"/>
      <c r="T870" s="19"/>
      <c r="U870" s="19"/>
      <c r="V870" s="19"/>
      <c r="W870" s="20"/>
      <c r="X870" s="19"/>
      <c r="Y870" s="21"/>
      <c r="Z870" s="21"/>
      <c r="AA870" s="21"/>
      <c r="AB870" s="21"/>
      <c r="AC870" s="20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</row>
    <row r="871" spans="1:44" ht="15.6" x14ac:dyDescent="0.3">
      <c r="A871" s="19"/>
      <c r="B871" s="19"/>
      <c r="C871" s="20"/>
      <c r="D871" s="19"/>
      <c r="E871" s="20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20"/>
      <c r="Q871" s="19"/>
      <c r="R871" s="19"/>
      <c r="S871" s="19"/>
      <c r="T871" s="19"/>
      <c r="U871" s="19"/>
      <c r="V871" s="19"/>
      <c r="W871" s="20"/>
      <c r="X871" s="19"/>
      <c r="Y871" s="21"/>
      <c r="Z871" s="21"/>
      <c r="AA871" s="21"/>
      <c r="AB871" s="21"/>
      <c r="AC871" s="20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</row>
    <row r="872" spans="1:44" ht="15.6" x14ac:dyDescent="0.3">
      <c r="A872" s="19"/>
      <c r="B872" s="19"/>
      <c r="C872" s="20"/>
      <c r="D872" s="19"/>
      <c r="E872" s="20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20"/>
      <c r="Q872" s="19"/>
      <c r="R872" s="19"/>
      <c r="S872" s="19"/>
      <c r="T872" s="19"/>
      <c r="U872" s="19"/>
      <c r="V872" s="19"/>
      <c r="W872" s="20"/>
      <c r="X872" s="19"/>
      <c r="Y872" s="21"/>
      <c r="Z872" s="21"/>
      <c r="AA872" s="21"/>
      <c r="AB872" s="21"/>
      <c r="AC872" s="20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</row>
    <row r="873" spans="1:44" ht="15.6" x14ac:dyDescent="0.3">
      <c r="A873" s="19"/>
      <c r="B873" s="19"/>
      <c r="C873" s="20"/>
      <c r="D873" s="19"/>
      <c r="E873" s="20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20"/>
      <c r="Q873" s="19"/>
      <c r="R873" s="19"/>
      <c r="S873" s="19"/>
      <c r="T873" s="19"/>
      <c r="U873" s="19"/>
      <c r="V873" s="19"/>
      <c r="W873" s="20"/>
      <c r="X873" s="19"/>
      <c r="Y873" s="21"/>
      <c r="Z873" s="21"/>
      <c r="AA873" s="21"/>
      <c r="AB873" s="21"/>
      <c r="AC873" s="20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</row>
    <row r="874" spans="1:44" ht="15.6" x14ac:dyDescent="0.3">
      <c r="A874" s="19"/>
      <c r="B874" s="19"/>
      <c r="C874" s="20"/>
      <c r="D874" s="19"/>
      <c r="E874" s="20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20"/>
      <c r="Q874" s="19"/>
      <c r="R874" s="19"/>
      <c r="S874" s="19"/>
      <c r="T874" s="19"/>
      <c r="U874" s="19"/>
      <c r="V874" s="19"/>
      <c r="W874" s="20"/>
      <c r="X874" s="19"/>
      <c r="Y874" s="21"/>
      <c r="Z874" s="21"/>
      <c r="AA874" s="21"/>
      <c r="AB874" s="21"/>
      <c r="AC874" s="20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</row>
    <row r="875" spans="1:44" ht="15.6" x14ac:dyDescent="0.3">
      <c r="A875" s="19"/>
      <c r="B875" s="19"/>
      <c r="C875" s="20"/>
      <c r="D875" s="19"/>
      <c r="E875" s="20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20"/>
      <c r="Q875" s="19"/>
      <c r="R875" s="19"/>
      <c r="S875" s="19"/>
      <c r="T875" s="19"/>
      <c r="U875" s="19"/>
      <c r="V875" s="19"/>
      <c r="W875" s="20"/>
      <c r="X875" s="19"/>
      <c r="Y875" s="21"/>
      <c r="Z875" s="21"/>
      <c r="AA875" s="21"/>
      <c r="AB875" s="21"/>
      <c r="AC875" s="20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</row>
    <row r="876" spans="1:44" ht="15.6" x14ac:dyDescent="0.3">
      <c r="A876" s="19"/>
      <c r="B876" s="19"/>
      <c r="C876" s="20"/>
      <c r="D876" s="19"/>
      <c r="E876" s="20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20"/>
      <c r="Q876" s="19"/>
      <c r="R876" s="19"/>
      <c r="S876" s="19"/>
      <c r="T876" s="19"/>
      <c r="U876" s="19"/>
      <c r="V876" s="19"/>
      <c r="W876" s="20"/>
      <c r="X876" s="19"/>
      <c r="Y876" s="21"/>
      <c r="Z876" s="21"/>
      <c r="AA876" s="21"/>
      <c r="AB876" s="21"/>
      <c r="AC876" s="20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</row>
    <row r="877" spans="1:44" ht="15.6" x14ac:dyDescent="0.3">
      <c r="A877" s="19"/>
      <c r="B877" s="19"/>
      <c r="C877" s="20"/>
      <c r="D877" s="19"/>
      <c r="E877" s="20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20"/>
      <c r="Q877" s="19"/>
      <c r="R877" s="19"/>
      <c r="S877" s="19"/>
      <c r="T877" s="19"/>
      <c r="U877" s="19"/>
      <c r="V877" s="19"/>
      <c r="W877" s="20"/>
      <c r="X877" s="19"/>
      <c r="Y877" s="21"/>
      <c r="Z877" s="21"/>
      <c r="AA877" s="21"/>
      <c r="AB877" s="21"/>
      <c r="AC877" s="20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</row>
    <row r="878" spans="1:44" ht="15.6" x14ac:dyDescent="0.3">
      <c r="A878" s="19"/>
      <c r="B878" s="19"/>
      <c r="C878" s="20"/>
      <c r="D878" s="19"/>
      <c r="E878" s="20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20"/>
      <c r="Q878" s="19"/>
      <c r="R878" s="19"/>
      <c r="S878" s="19"/>
      <c r="T878" s="19"/>
      <c r="U878" s="19"/>
      <c r="V878" s="19"/>
      <c r="W878" s="20"/>
      <c r="X878" s="19"/>
      <c r="Y878" s="21"/>
      <c r="Z878" s="21"/>
      <c r="AA878" s="21"/>
      <c r="AB878" s="21"/>
      <c r="AC878" s="20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</row>
    <row r="879" spans="1:44" ht="15.6" x14ac:dyDescent="0.3">
      <c r="A879" s="19"/>
      <c r="B879" s="19"/>
      <c r="C879" s="20"/>
      <c r="D879" s="19"/>
      <c r="E879" s="20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20"/>
      <c r="Q879" s="19"/>
      <c r="R879" s="19"/>
      <c r="S879" s="19"/>
      <c r="T879" s="19"/>
      <c r="U879" s="19"/>
      <c r="V879" s="19"/>
      <c r="W879" s="20"/>
      <c r="X879" s="19"/>
      <c r="Y879" s="21"/>
      <c r="Z879" s="21"/>
      <c r="AA879" s="21"/>
      <c r="AB879" s="21"/>
      <c r="AC879" s="20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</row>
    <row r="880" spans="1:44" ht="15.6" x14ac:dyDescent="0.3">
      <c r="A880" s="19"/>
      <c r="B880" s="19"/>
      <c r="C880" s="20"/>
      <c r="D880" s="19"/>
      <c r="E880" s="20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20"/>
      <c r="Q880" s="19"/>
      <c r="R880" s="19"/>
      <c r="S880" s="19"/>
      <c r="T880" s="19"/>
      <c r="U880" s="19"/>
      <c r="V880" s="19"/>
      <c r="W880" s="20"/>
      <c r="X880" s="19"/>
      <c r="Y880" s="21"/>
      <c r="Z880" s="21"/>
      <c r="AA880" s="21"/>
      <c r="AB880" s="21"/>
      <c r="AC880" s="20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</row>
    <row r="881" spans="1:44" ht="15.6" x14ac:dyDescent="0.3">
      <c r="A881" s="19"/>
      <c r="B881" s="19"/>
      <c r="C881" s="20"/>
      <c r="D881" s="19"/>
      <c r="E881" s="20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20"/>
      <c r="Q881" s="19"/>
      <c r="R881" s="19"/>
      <c r="S881" s="19"/>
      <c r="T881" s="19"/>
      <c r="U881" s="19"/>
      <c r="V881" s="19"/>
      <c r="W881" s="20"/>
      <c r="X881" s="19"/>
      <c r="Y881" s="21"/>
      <c r="Z881" s="21"/>
      <c r="AA881" s="21"/>
      <c r="AB881" s="21"/>
      <c r="AC881" s="20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</row>
    <row r="882" spans="1:44" ht="15.6" x14ac:dyDescent="0.3">
      <c r="A882" s="19"/>
      <c r="B882" s="19"/>
      <c r="C882" s="20"/>
      <c r="D882" s="19"/>
      <c r="E882" s="20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20"/>
      <c r="Q882" s="19"/>
      <c r="R882" s="19"/>
      <c r="S882" s="19"/>
      <c r="T882" s="19"/>
      <c r="U882" s="19"/>
      <c r="V882" s="19"/>
      <c r="W882" s="20"/>
      <c r="X882" s="19"/>
      <c r="Y882" s="21"/>
      <c r="Z882" s="21"/>
      <c r="AA882" s="21"/>
      <c r="AB882" s="21"/>
      <c r="AC882" s="20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</row>
    <row r="883" spans="1:44" ht="15.6" x14ac:dyDescent="0.3">
      <c r="A883" s="19"/>
      <c r="B883" s="19"/>
      <c r="C883" s="20"/>
      <c r="D883" s="19"/>
      <c r="E883" s="20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20"/>
      <c r="Q883" s="19"/>
      <c r="R883" s="19"/>
      <c r="S883" s="19"/>
      <c r="T883" s="19"/>
      <c r="U883" s="19"/>
      <c r="V883" s="19"/>
      <c r="W883" s="20"/>
      <c r="X883" s="19"/>
      <c r="Y883" s="21"/>
      <c r="Z883" s="21"/>
      <c r="AA883" s="21"/>
      <c r="AB883" s="21"/>
      <c r="AC883" s="20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</row>
    <row r="884" spans="1:44" ht="15.6" x14ac:dyDescent="0.3">
      <c r="A884" s="19"/>
      <c r="B884" s="19"/>
      <c r="C884" s="20"/>
      <c r="D884" s="19"/>
      <c r="E884" s="20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20"/>
      <c r="Q884" s="19"/>
      <c r="R884" s="19"/>
      <c r="S884" s="19"/>
      <c r="T884" s="19"/>
      <c r="U884" s="19"/>
      <c r="V884" s="19"/>
      <c r="W884" s="20"/>
      <c r="X884" s="19"/>
      <c r="Y884" s="21"/>
      <c r="Z884" s="21"/>
      <c r="AA884" s="21"/>
      <c r="AB884" s="21"/>
      <c r="AC884" s="20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</row>
    <row r="885" spans="1:44" ht="15.6" x14ac:dyDescent="0.3">
      <c r="A885" s="19"/>
      <c r="B885" s="19"/>
      <c r="C885" s="20"/>
      <c r="D885" s="19"/>
      <c r="E885" s="20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20"/>
      <c r="Q885" s="19"/>
      <c r="R885" s="19"/>
      <c r="S885" s="19"/>
      <c r="T885" s="19"/>
      <c r="U885" s="19"/>
      <c r="V885" s="19"/>
      <c r="W885" s="20"/>
      <c r="X885" s="19"/>
      <c r="Y885" s="21"/>
      <c r="Z885" s="21"/>
      <c r="AA885" s="21"/>
      <c r="AB885" s="21"/>
      <c r="AC885" s="20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</row>
    <row r="886" spans="1:44" ht="15.6" x14ac:dyDescent="0.3">
      <c r="A886" s="19"/>
      <c r="B886" s="19"/>
      <c r="C886" s="20"/>
      <c r="D886" s="19"/>
      <c r="E886" s="20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20"/>
      <c r="Q886" s="19"/>
      <c r="R886" s="19"/>
      <c r="S886" s="19"/>
      <c r="T886" s="19"/>
      <c r="U886" s="19"/>
      <c r="V886" s="19"/>
      <c r="W886" s="20"/>
      <c r="X886" s="19"/>
      <c r="Y886" s="21"/>
      <c r="Z886" s="21"/>
      <c r="AA886" s="21"/>
      <c r="AB886" s="21"/>
      <c r="AC886" s="20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</row>
    <row r="887" spans="1:44" ht="15.6" x14ac:dyDescent="0.3">
      <c r="A887" s="19"/>
      <c r="B887" s="19"/>
      <c r="C887" s="20"/>
      <c r="D887" s="19"/>
      <c r="E887" s="20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20"/>
      <c r="Q887" s="19"/>
      <c r="R887" s="19"/>
      <c r="S887" s="19"/>
      <c r="T887" s="19"/>
      <c r="U887" s="19"/>
      <c r="V887" s="19"/>
      <c r="W887" s="20"/>
      <c r="X887" s="19"/>
      <c r="Y887" s="21"/>
      <c r="Z887" s="21"/>
      <c r="AA887" s="21"/>
      <c r="AB887" s="21"/>
      <c r="AC887" s="20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</row>
    <row r="888" spans="1:44" ht="15.6" x14ac:dyDescent="0.3">
      <c r="A888" s="19"/>
      <c r="B888" s="19"/>
      <c r="C888" s="20"/>
      <c r="D888" s="19"/>
      <c r="E888" s="20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20"/>
      <c r="Q888" s="19"/>
      <c r="R888" s="19"/>
      <c r="S888" s="19"/>
      <c r="T888" s="19"/>
      <c r="U888" s="19"/>
      <c r="V888" s="19"/>
      <c r="W888" s="20"/>
      <c r="X888" s="19"/>
      <c r="Y888" s="21"/>
      <c r="Z888" s="21"/>
      <c r="AA888" s="21"/>
      <c r="AB888" s="21"/>
      <c r="AC888" s="20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</row>
    <row r="889" spans="1:44" ht="15.6" x14ac:dyDescent="0.3">
      <c r="A889" s="19"/>
      <c r="B889" s="19"/>
      <c r="C889" s="20"/>
      <c r="D889" s="19"/>
      <c r="E889" s="20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20"/>
      <c r="Q889" s="19"/>
      <c r="R889" s="19"/>
      <c r="S889" s="19"/>
      <c r="T889" s="19"/>
      <c r="U889" s="19"/>
      <c r="V889" s="19"/>
      <c r="W889" s="20"/>
      <c r="X889" s="19"/>
      <c r="Y889" s="21"/>
      <c r="Z889" s="21"/>
      <c r="AA889" s="21"/>
      <c r="AB889" s="21"/>
      <c r="AC889" s="20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</row>
    <row r="890" spans="1:44" ht="15.6" x14ac:dyDescent="0.3">
      <c r="A890" s="19"/>
      <c r="B890" s="19"/>
      <c r="C890" s="20"/>
      <c r="D890" s="19"/>
      <c r="E890" s="20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20"/>
      <c r="Q890" s="19"/>
      <c r="R890" s="19"/>
      <c r="S890" s="19"/>
      <c r="T890" s="19"/>
      <c r="U890" s="19"/>
      <c r="V890" s="19"/>
      <c r="W890" s="20"/>
      <c r="X890" s="19"/>
      <c r="Y890" s="21"/>
      <c r="Z890" s="21"/>
      <c r="AA890" s="21"/>
      <c r="AB890" s="21"/>
      <c r="AC890" s="20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</row>
    <row r="891" spans="1:44" ht="15.6" x14ac:dyDescent="0.3">
      <c r="A891" s="19"/>
      <c r="B891" s="19"/>
      <c r="C891" s="20"/>
      <c r="D891" s="19"/>
      <c r="E891" s="20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20"/>
      <c r="Q891" s="19"/>
      <c r="R891" s="19"/>
      <c r="S891" s="19"/>
      <c r="T891" s="19"/>
      <c r="U891" s="19"/>
      <c r="V891" s="19"/>
      <c r="W891" s="20"/>
      <c r="X891" s="19"/>
      <c r="Y891" s="21"/>
      <c r="Z891" s="21"/>
      <c r="AA891" s="21"/>
      <c r="AB891" s="21"/>
      <c r="AC891" s="20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</row>
    <row r="892" spans="1:44" ht="15.6" x14ac:dyDescent="0.3">
      <c r="A892" s="19"/>
      <c r="B892" s="19"/>
      <c r="C892" s="20"/>
      <c r="D892" s="19"/>
      <c r="E892" s="20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20"/>
      <c r="Q892" s="19"/>
      <c r="R892" s="19"/>
      <c r="S892" s="19"/>
      <c r="T892" s="19"/>
      <c r="U892" s="19"/>
      <c r="V892" s="19"/>
      <c r="W892" s="20"/>
      <c r="X892" s="19"/>
      <c r="Y892" s="21"/>
      <c r="Z892" s="21"/>
      <c r="AA892" s="21"/>
      <c r="AB892" s="21"/>
      <c r="AC892" s="20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</row>
    <row r="893" spans="1:44" ht="15.6" x14ac:dyDescent="0.3">
      <c r="A893" s="19"/>
      <c r="B893" s="19"/>
      <c r="C893" s="20"/>
      <c r="D893" s="19"/>
      <c r="E893" s="20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20"/>
      <c r="Q893" s="19"/>
      <c r="R893" s="19"/>
      <c r="S893" s="19"/>
      <c r="T893" s="19"/>
      <c r="U893" s="19"/>
      <c r="V893" s="19"/>
      <c r="W893" s="20"/>
      <c r="X893" s="19"/>
      <c r="Y893" s="21"/>
      <c r="Z893" s="21"/>
      <c r="AA893" s="21"/>
      <c r="AB893" s="21"/>
      <c r="AC893" s="20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</row>
    <row r="894" spans="1:44" ht="15.6" x14ac:dyDescent="0.3">
      <c r="A894" s="19"/>
      <c r="B894" s="19"/>
      <c r="C894" s="20"/>
      <c r="D894" s="19"/>
      <c r="E894" s="20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20"/>
      <c r="Q894" s="19"/>
      <c r="R894" s="19"/>
      <c r="S894" s="19"/>
      <c r="T894" s="19"/>
      <c r="U894" s="19"/>
      <c r="V894" s="19"/>
      <c r="W894" s="20"/>
      <c r="X894" s="19"/>
      <c r="Y894" s="21"/>
      <c r="Z894" s="21"/>
      <c r="AA894" s="21"/>
      <c r="AB894" s="21"/>
      <c r="AC894" s="20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</row>
    <row r="895" spans="1:44" ht="15.6" x14ac:dyDescent="0.3">
      <c r="A895" s="19"/>
      <c r="B895" s="19"/>
      <c r="C895" s="20"/>
      <c r="D895" s="19"/>
      <c r="E895" s="20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20"/>
      <c r="Q895" s="19"/>
      <c r="R895" s="19"/>
      <c r="S895" s="19"/>
      <c r="T895" s="19"/>
      <c r="U895" s="19"/>
      <c r="V895" s="19"/>
      <c r="W895" s="20"/>
      <c r="X895" s="19"/>
      <c r="Y895" s="21"/>
      <c r="Z895" s="21"/>
      <c r="AA895" s="21"/>
      <c r="AB895" s="21"/>
      <c r="AC895" s="20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</row>
    <row r="896" spans="1:44" ht="15.6" x14ac:dyDescent="0.3">
      <c r="A896" s="19"/>
      <c r="B896" s="19"/>
      <c r="C896" s="20"/>
      <c r="D896" s="19"/>
      <c r="E896" s="20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20"/>
      <c r="Q896" s="19"/>
      <c r="R896" s="19"/>
      <c r="S896" s="19"/>
      <c r="T896" s="19"/>
      <c r="U896" s="19"/>
      <c r="V896" s="19"/>
      <c r="W896" s="20"/>
      <c r="X896" s="19"/>
      <c r="Y896" s="21"/>
      <c r="Z896" s="21"/>
      <c r="AA896" s="21"/>
      <c r="AB896" s="21"/>
      <c r="AC896" s="20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</row>
    <row r="897" spans="1:44" ht="15.6" x14ac:dyDescent="0.3">
      <c r="A897" s="19"/>
      <c r="B897" s="19"/>
      <c r="C897" s="20"/>
      <c r="D897" s="19"/>
      <c r="E897" s="20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20"/>
      <c r="Q897" s="19"/>
      <c r="R897" s="19"/>
      <c r="S897" s="19"/>
      <c r="T897" s="19"/>
      <c r="U897" s="19"/>
      <c r="V897" s="19"/>
      <c r="W897" s="20"/>
      <c r="X897" s="19"/>
      <c r="Y897" s="21"/>
      <c r="Z897" s="21"/>
      <c r="AA897" s="21"/>
      <c r="AB897" s="21"/>
      <c r="AC897" s="20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</row>
    <row r="898" spans="1:44" ht="15.6" x14ac:dyDescent="0.3">
      <c r="A898" s="19"/>
      <c r="B898" s="19"/>
      <c r="C898" s="20"/>
      <c r="D898" s="19"/>
      <c r="E898" s="20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20"/>
      <c r="Q898" s="19"/>
      <c r="R898" s="19"/>
      <c r="S898" s="19"/>
      <c r="T898" s="19"/>
      <c r="U898" s="19"/>
      <c r="V898" s="19"/>
      <c r="W898" s="20"/>
      <c r="X898" s="19"/>
      <c r="Y898" s="21"/>
      <c r="Z898" s="21"/>
      <c r="AA898" s="21"/>
      <c r="AB898" s="21"/>
      <c r="AC898" s="20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</row>
    <row r="899" spans="1:44" ht="15.6" x14ac:dyDescent="0.3">
      <c r="A899" s="19"/>
      <c r="B899" s="19"/>
      <c r="C899" s="20"/>
      <c r="D899" s="19"/>
      <c r="E899" s="20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20"/>
      <c r="Q899" s="19"/>
      <c r="R899" s="19"/>
      <c r="S899" s="19"/>
      <c r="T899" s="19"/>
      <c r="U899" s="19"/>
      <c r="V899" s="19"/>
      <c r="W899" s="20"/>
      <c r="X899" s="19"/>
      <c r="Y899" s="21"/>
      <c r="Z899" s="21"/>
      <c r="AA899" s="21"/>
      <c r="AB899" s="21"/>
      <c r="AC899" s="20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</row>
    <row r="900" spans="1:44" ht="15.6" x14ac:dyDescent="0.3">
      <c r="A900" s="19"/>
      <c r="B900" s="19"/>
      <c r="C900" s="20"/>
      <c r="D900" s="19"/>
      <c r="E900" s="20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20"/>
      <c r="Q900" s="19"/>
      <c r="R900" s="19"/>
      <c r="S900" s="19"/>
      <c r="T900" s="19"/>
      <c r="U900" s="19"/>
      <c r="V900" s="19"/>
      <c r="W900" s="20"/>
      <c r="X900" s="19"/>
      <c r="Y900" s="21"/>
      <c r="Z900" s="21"/>
      <c r="AA900" s="21"/>
      <c r="AB900" s="21"/>
      <c r="AC900" s="20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</row>
    <row r="901" spans="1:44" ht="15.6" x14ac:dyDescent="0.3">
      <c r="A901" s="19"/>
      <c r="B901" s="19"/>
      <c r="C901" s="20"/>
      <c r="D901" s="19"/>
      <c r="E901" s="20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20"/>
      <c r="Q901" s="19"/>
      <c r="R901" s="19"/>
      <c r="S901" s="19"/>
      <c r="T901" s="19"/>
      <c r="U901" s="19"/>
      <c r="V901" s="19"/>
      <c r="W901" s="20"/>
      <c r="X901" s="19"/>
      <c r="Y901" s="21"/>
      <c r="Z901" s="21"/>
      <c r="AA901" s="21"/>
      <c r="AB901" s="21"/>
      <c r="AC901" s="20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</row>
    <row r="902" spans="1:44" ht="15.6" x14ac:dyDescent="0.3">
      <c r="A902" s="19"/>
      <c r="B902" s="19"/>
      <c r="C902" s="20"/>
      <c r="D902" s="19"/>
      <c r="E902" s="20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20"/>
      <c r="Q902" s="19"/>
      <c r="R902" s="19"/>
      <c r="S902" s="19"/>
      <c r="T902" s="19"/>
      <c r="U902" s="19"/>
      <c r="V902" s="19"/>
      <c r="W902" s="20"/>
      <c r="X902" s="19"/>
      <c r="Y902" s="21"/>
      <c r="Z902" s="21"/>
      <c r="AA902" s="21"/>
      <c r="AB902" s="21"/>
      <c r="AC902" s="20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</row>
    <row r="903" spans="1:44" ht="15.6" x14ac:dyDescent="0.3">
      <c r="A903" s="19"/>
      <c r="B903" s="19"/>
      <c r="C903" s="20"/>
      <c r="D903" s="19"/>
      <c r="E903" s="20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20"/>
      <c r="Q903" s="19"/>
      <c r="R903" s="19"/>
      <c r="S903" s="19"/>
      <c r="T903" s="19"/>
      <c r="U903" s="19"/>
      <c r="V903" s="19"/>
      <c r="W903" s="20"/>
      <c r="X903" s="19"/>
      <c r="Y903" s="21"/>
      <c r="Z903" s="21"/>
      <c r="AA903" s="21"/>
      <c r="AB903" s="21"/>
      <c r="AC903" s="20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</row>
    <row r="904" spans="1:44" ht="15.6" x14ac:dyDescent="0.3">
      <c r="A904" s="19"/>
      <c r="B904" s="19"/>
      <c r="C904" s="20"/>
      <c r="D904" s="19"/>
      <c r="E904" s="20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20"/>
      <c r="Q904" s="19"/>
      <c r="R904" s="19"/>
      <c r="S904" s="19"/>
      <c r="T904" s="19"/>
      <c r="U904" s="19"/>
      <c r="V904" s="19"/>
      <c r="W904" s="20"/>
      <c r="X904" s="19"/>
      <c r="Y904" s="21"/>
      <c r="Z904" s="21"/>
      <c r="AA904" s="21"/>
      <c r="AB904" s="21"/>
      <c r="AC904" s="20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</row>
    <row r="905" spans="1:44" ht="15.6" x14ac:dyDescent="0.3">
      <c r="A905" s="19"/>
      <c r="B905" s="19"/>
      <c r="C905" s="20"/>
      <c r="D905" s="19"/>
      <c r="E905" s="20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20"/>
      <c r="Q905" s="19"/>
      <c r="R905" s="19"/>
      <c r="S905" s="19"/>
      <c r="T905" s="19"/>
      <c r="U905" s="19"/>
      <c r="V905" s="19"/>
      <c r="W905" s="20"/>
      <c r="X905" s="19"/>
      <c r="Y905" s="21"/>
      <c r="Z905" s="21"/>
      <c r="AA905" s="21"/>
      <c r="AB905" s="21"/>
      <c r="AC905" s="20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</row>
    <row r="906" spans="1:44" ht="15.6" x14ac:dyDescent="0.3">
      <c r="A906" s="19"/>
      <c r="B906" s="19"/>
      <c r="C906" s="20"/>
      <c r="D906" s="19"/>
      <c r="E906" s="20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20"/>
      <c r="Q906" s="19"/>
      <c r="R906" s="19"/>
      <c r="S906" s="19"/>
      <c r="T906" s="19"/>
      <c r="U906" s="19"/>
      <c r="V906" s="19"/>
      <c r="W906" s="20"/>
      <c r="X906" s="19"/>
      <c r="Y906" s="21"/>
      <c r="Z906" s="21"/>
      <c r="AA906" s="21"/>
      <c r="AB906" s="21"/>
      <c r="AC906" s="20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</row>
    <row r="907" spans="1:44" ht="15.6" x14ac:dyDescent="0.3">
      <c r="A907" s="19"/>
      <c r="B907" s="19"/>
      <c r="C907" s="20"/>
      <c r="D907" s="19"/>
      <c r="E907" s="20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20"/>
      <c r="Q907" s="19"/>
      <c r="R907" s="19"/>
      <c r="S907" s="19"/>
      <c r="T907" s="19"/>
      <c r="U907" s="19"/>
      <c r="V907" s="19"/>
      <c r="W907" s="20"/>
      <c r="X907" s="19"/>
      <c r="Y907" s="21"/>
      <c r="Z907" s="21"/>
      <c r="AA907" s="21"/>
      <c r="AB907" s="21"/>
      <c r="AC907" s="20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</row>
    <row r="908" spans="1:44" ht="15.6" x14ac:dyDescent="0.3">
      <c r="A908" s="19"/>
      <c r="B908" s="19"/>
      <c r="C908" s="20"/>
      <c r="D908" s="19"/>
      <c r="E908" s="20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20"/>
      <c r="Q908" s="19"/>
      <c r="R908" s="19"/>
      <c r="S908" s="19"/>
      <c r="T908" s="19"/>
      <c r="U908" s="19"/>
      <c r="V908" s="19"/>
      <c r="W908" s="20"/>
      <c r="X908" s="19"/>
      <c r="Y908" s="21"/>
      <c r="Z908" s="21"/>
      <c r="AA908" s="21"/>
      <c r="AB908" s="21"/>
      <c r="AC908" s="20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</row>
    <row r="909" spans="1:44" ht="15.6" x14ac:dyDescent="0.3">
      <c r="A909" s="19"/>
      <c r="B909" s="19"/>
      <c r="C909" s="20"/>
      <c r="D909" s="19"/>
      <c r="E909" s="20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20"/>
      <c r="Q909" s="19"/>
      <c r="R909" s="19"/>
      <c r="S909" s="19"/>
      <c r="T909" s="19"/>
      <c r="U909" s="19"/>
      <c r="V909" s="19"/>
      <c r="W909" s="20"/>
      <c r="X909" s="19"/>
      <c r="Y909" s="21"/>
      <c r="Z909" s="21"/>
      <c r="AA909" s="21"/>
      <c r="AB909" s="21"/>
      <c r="AC909" s="20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</row>
    <row r="910" spans="1:44" ht="15.6" x14ac:dyDescent="0.3">
      <c r="A910" s="19"/>
      <c r="B910" s="19"/>
      <c r="C910" s="20"/>
      <c r="D910" s="19"/>
      <c r="E910" s="20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20"/>
      <c r="Q910" s="19"/>
      <c r="R910" s="19"/>
      <c r="S910" s="19"/>
      <c r="T910" s="19"/>
      <c r="U910" s="19"/>
      <c r="V910" s="19"/>
      <c r="W910" s="20"/>
      <c r="X910" s="19"/>
      <c r="Y910" s="21"/>
      <c r="Z910" s="21"/>
      <c r="AA910" s="21"/>
      <c r="AB910" s="21"/>
      <c r="AC910" s="20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</row>
    <row r="911" spans="1:44" ht="15.6" x14ac:dyDescent="0.3">
      <c r="A911" s="19"/>
      <c r="B911" s="19"/>
      <c r="C911" s="20"/>
      <c r="D911" s="19"/>
      <c r="E911" s="20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20"/>
      <c r="Q911" s="19"/>
      <c r="R911" s="19"/>
      <c r="S911" s="19"/>
      <c r="T911" s="19"/>
      <c r="U911" s="19"/>
      <c r="V911" s="19"/>
      <c r="W911" s="20"/>
      <c r="X911" s="19"/>
      <c r="Y911" s="21"/>
      <c r="Z911" s="21"/>
      <c r="AA911" s="21"/>
      <c r="AB911" s="21"/>
      <c r="AC911" s="20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</row>
    <row r="912" spans="1:44" ht="15.6" x14ac:dyDescent="0.3">
      <c r="A912" s="19"/>
      <c r="B912" s="19"/>
      <c r="C912" s="20"/>
      <c r="D912" s="19"/>
      <c r="E912" s="20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20"/>
      <c r="Q912" s="19"/>
      <c r="R912" s="19"/>
      <c r="S912" s="19"/>
      <c r="T912" s="19"/>
      <c r="U912" s="19"/>
      <c r="V912" s="19"/>
      <c r="W912" s="20"/>
      <c r="X912" s="19"/>
      <c r="Y912" s="21"/>
      <c r="Z912" s="21"/>
      <c r="AA912" s="21"/>
      <c r="AB912" s="21"/>
      <c r="AC912" s="20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</row>
    <row r="913" spans="1:44" ht="15.6" x14ac:dyDescent="0.3">
      <c r="A913" s="19"/>
      <c r="B913" s="19"/>
      <c r="C913" s="20"/>
      <c r="D913" s="19"/>
      <c r="E913" s="20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20"/>
      <c r="Q913" s="19"/>
      <c r="R913" s="19"/>
      <c r="S913" s="19"/>
      <c r="T913" s="19"/>
      <c r="U913" s="19"/>
      <c r="V913" s="19"/>
      <c r="W913" s="20"/>
      <c r="X913" s="19"/>
      <c r="Y913" s="21"/>
      <c r="Z913" s="21"/>
      <c r="AA913" s="21"/>
      <c r="AB913" s="21"/>
      <c r="AC913" s="20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</row>
    <row r="914" spans="1:44" ht="15.6" x14ac:dyDescent="0.3">
      <c r="A914" s="19"/>
      <c r="B914" s="19"/>
      <c r="C914" s="20"/>
      <c r="D914" s="19"/>
      <c r="E914" s="20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20"/>
      <c r="Q914" s="19"/>
      <c r="R914" s="19"/>
      <c r="S914" s="19"/>
      <c r="T914" s="19"/>
      <c r="U914" s="19"/>
      <c r="V914" s="19"/>
      <c r="W914" s="20"/>
      <c r="X914" s="19"/>
      <c r="Y914" s="21"/>
      <c r="Z914" s="21"/>
      <c r="AA914" s="21"/>
      <c r="AB914" s="21"/>
      <c r="AC914" s="20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</row>
    <row r="915" spans="1:44" ht="15.6" x14ac:dyDescent="0.3">
      <c r="A915" s="19"/>
      <c r="B915" s="19"/>
      <c r="C915" s="20"/>
      <c r="D915" s="19"/>
      <c r="E915" s="20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20"/>
      <c r="Q915" s="19"/>
      <c r="R915" s="19"/>
      <c r="S915" s="19"/>
      <c r="T915" s="19"/>
      <c r="U915" s="19"/>
      <c r="V915" s="19"/>
      <c r="W915" s="20"/>
      <c r="X915" s="19"/>
      <c r="Y915" s="21"/>
      <c r="Z915" s="21"/>
      <c r="AA915" s="21"/>
      <c r="AB915" s="21"/>
      <c r="AC915" s="20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</row>
    <row r="916" spans="1:44" ht="15.6" x14ac:dyDescent="0.3">
      <c r="A916" s="19"/>
      <c r="B916" s="19"/>
      <c r="C916" s="20"/>
      <c r="D916" s="19"/>
      <c r="E916" s="20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20"/>
      <c r="Q916" s="19"/>
      <c r="R916" s="19"/>
      <c r="S916" s="19"/>
      <c r="T916" s="19"/>
      <c r="U916" s="19"/>
      <c r="V916" s="19"/>
      <c r="W916" s="20"/>
      <c r="X916" s="19"/>
      <c r="Y916" s="21"/>
      <c r="Z916" s="21"/>
      <c r="AA916" s="21"/>
      <c r="AB916" s="21"/>
      <c r="AC916" s="20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</row>
    <row r="917" spans="1:44" ht="15.6" x14ac:dyDescent="0.3">
      <c r="A917" s="19"/>
      <c r="B917" s="19"/>
      <c r="C917" s="20"/>
      <c r="D917" s="19"/>
      <c r="E917" s="20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20"/>
      <c r="Q917" s="19"/>
      <c r="R917" s="19"/>
      <c r="S917" s="19"/>
      <c r="T917" s="19"/>
      <c r="U917" s="19"/>
      <c r="V917" s="19"/>
      <c r="W917" s="20"/>
      <c r="X917" s="19"/>
      <c r="Y917" s="21"/>
      <c r="Z917" s="21"/>
      <c r="AA917" s="21"/>
      <c r="AB917" s="21"/>
      <c r="AC917" s="20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</row>
    <row r="918" spans="1:44" ht="15.6" x14ac:dyDescent="0.3">
      <c r="A918" s="19"/>
      <c r="B918" s="19"/>
      <c r="C918" s="20"/>
      <c r="D918" s="19"/>
      <c r="E918" s="20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20"/>
      <c r="Q918" s="19"/>
      <c r="R918" s="19"/>
      <c r="S918" s="19"/>
      <c r="T918" s="19"/>
      <c r="U918" s="19"/>
      <c r="V918" s="19"/>
      <c r="W918" s="20"/>
      <c r="X918" s="19"/>
      <c r="Y918" s="21"/>
      <c r="Z918" s="21"/>
      <c r="AA918" s="21"/>
      <c r="AB918" s="21"/>
      <c r="AC918" s="20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</row>
    <row r="919" spans="1:44" ht="15.6" x14ac:dyDescent="0.3">
      <c r="A919" s="19"/>
      <c r="B919" s="19"/>
      <c r="C919" s="20"/>
      <c r="D919" s="19"/>
      <c r="E919" s="20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20"/>
      <c r="Q919" s="19"/>
      <c r="R919" s="19"/>
      <c r="S919" s="19"/>
      <c r="T919" s="19"/>
      <c r="U919" s="19"/>
      <c r="V919" s="19"/>
      <c r="W919" s="20"/>
      <c r="X919" s="19"/>
      <c r="Y919" s="21"/>
      <c r="Z919" s="21"/>
      <c r="AA919" s="21"/>
      <c r="AB919" s="21"/>
      <c r="AC919" s="20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</row>
    <row r="920" spans="1:44" ht="15.6" x14ac:dyDescent="0.3">
      <c r="A920" s="19"/>
      <c r="B920" s="19"/>
      <c r="C920" s="20"/>
      <c r="D920" s="19"/>
      <c r="E920" s="20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20"/>
      <c r="Q920" s="19"/>
      <c r="R920" s="19"/>
      <c r="S920" s="19"/>
      <c r="T920" s="19"/>
      <c r="U920" s="19"/>
      <c r="V920" s="19"/>
      <c r="W920" s="20"/>
      <c r="X920" s="19"/>
      <c r="Y920" s="21"/>
      <c r="Z920" s="21"/>
      <c r="AA920" s="21"/>
      <c r="AB920" s="21"/>
      <c r="AC920" s="20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</row>
    <row r="921" spans="1:44" ht="15.6" x14ac:dyDescent="0.3">
      <c r="A921" s="19"/>
      <c r="B921" s="19"/>
      <c r="C921" s="20"/>
      <c r="D921" s="19"/>
      <c r="E921" s="20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20"/>
      <c r="Q921" s="19"/>
      <c r="R921" s="19"/>
      <c r="S921" s="19"/>
      <c r="T921" s="19"/>
      <c r="U921" s="19"/>
      <c r="V921" s="19"/>
      <c r="W921" s="20"/>
      <c r="X921" s="19"/>
      <c r="Y921" s="21"/>
      <c r="Z921" s="21"/>
      <c r="AA921" s="21"/>
      <c r="AB921" s="21"/>
      <c r="AC921" s="20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</row>
    <row r="922" spans="1:44" ht="15.6" x14ac:dyDescent="0.3">
      <c r="A922" s="19"/>
      <c r="B922" s="19"/>
      <c r="C922" s="20"/>
      <c r="D922" s="19"/>
      <c r="E922" s="20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20"/>
      <c r="Q922" s="19"/>
      <c r="R922" s="19"/>
      <c r="S922" s="19"/>
      <c r="T922" s="19"/>
      <c r="U922" s="19"/>
      <c r="V922" s="19"/>
      <c r="W922" s="20"/>
      <c r="X922" s="19"/>
      <c r="Y922" s="21"/>
      <c r="Z922" s="21"/>
      <c r="AA922" s="21"/>
      <c r="AB922" s="21"/>
      <c r="AC922" s="20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</row>
    <row r="923" spans="1:44" ht="15.6" x14ac:dyDescent="0.3">
      <c r="A923" s="19"/>
      <c r="B923" s="19"/>
      <c r="C923" s="20"/>
      <c r="D923" s="19"/>
      <c r="E923" s="20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20"/>
      <c r="Q923" s="19"/>
      <c r="R923" s="19"/>
      <c r="S923" s="19"/>
      <c r="T923" s="19"/>
      <c r="U923" s="19"/>
      <c r="V923" s="19"/>
      <c r="W923" s="20"/>
      <c r="X923" s="19"/>
      <c r="Y923" s="21"/>
      <c r="Z923" s="21"/>
      <c r="AA923" s="21"/>
      <c r="AB923" s="21"/>
      <c r="AC923" s="20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</row>
    <row r="924" spans="1:44" ht="15.6" x14ac:dyDescent="0.3">
      <c r="A924" s="19"/>
      <c r="B924" s="19"/>
      <c r="C924" s="20"/>
      <c r="D924" s="19"/>
      <c r="E924" s="20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20"/>
      <c r="Q924" s="19"/>
      <c r="R924" s="19"/>
      <c r="S924" s="19"/>
      <c r="T924" s="19"/>
      <c r="U924" s="19"/>
      <c r="V924" s="19"/>
      <c r="W924" s="20"/>
      <c r="X924" s="19"/>
      <c r="Y924" s="21"/>
      <c r="Z924" s="21"/>
      <c r="AA924" s="21"/>
      <c r="AB924" s="21"/>
      <c r="AC924" s="20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</row>
    <row r="925" spans="1:44" ht="15.6" x14ac:dyDescent="0.3">
      <c r="A925" s="19"/>
      <c r="B925" s="19"/>
      <c r="C925" s="20"/>
      <c r="D925" s="19"/>
      <c r="E925" s="20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20"/>
      <c r="Q925" s="19"/>
      <c r="R925" s="19"/>
      <c r="S925" s="19"/>
      <c r="T925" s="19"/>
      <c r="U925" s="19"/>
      <c r="V925" s="19"/>
      <c r="W925" s="20"/>
      <c r="X925" s="19"/>
      <c r="Y925" s="21"/>
      <c r="Z925" s="21"/>
      <c r="AA925" s="21"/>
      <c r="AB925" s="21"/>
      <c r="AC925" s="20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</row>
    <row r="926" spans="1:44" ht="15.6" x14ac:dyDescent="0.3">
      <c r="A926" s="19"/>
      <c r="B926" s="19"/>
      <c r="C926" s="20"/>
      <c r="D926" s="19"/>
      <c r="E926" s="20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20"/>
      <c r="Q926" s="19"/>
      <c r="R926" s="19"/>
      <c r="S926" s="19"/>
      <c r="T926" s="19"/>
      <c r="U926" s="19"/>
      <c r="V926" s="19"/>
      <c r="W926" s="20"/>
      <c r="X926" s="19"/>
      <c r="Y926" s="21"/>
      <c r="Z926" s="21"/>
      <c r="AA926" s="21"/>
      <c r="AB926" s="21"/>
      <c r="AC926" s="20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</row>
    <row r="927" spans="1:44" ht="15.6" x14ac:dyDescent="0.3">
      <c r="A927" s="19"/>
      <c r="B927" s="19"/>
      <c r="C927" s="20"/>
      <c r="D927" s="19"/>
      <c r="E927" s="20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20"/>
      <c r="Q927" s="19"/>
      <c r="R927" s="19"/>
      <c r="S927" s="19"/>
      <c r="T927" s="19"/>
      <c r="U927" s="19"/>
      <c r="V927" s="19"/>
      <c r="W927" s="20"/>
      <c r="X927" s="19"/>
      <c r="Y927" s="21"/>
      <c r="Z927" s="21"/>
      <c r="AA927" s="21"/>
      <c r="AB927" s="21"/>
      <c r="AC927" s="20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</row>
    <row r="928" spans="1:44" ht="15.6" x14ac:dyDescent="0.3">
      <c r="A928" s="19"/>
      <c r="B928" s="19"/>
      <c r="C928" s="20"/>
      <c r="D928" s="19"/>
      <c r="E928" s="20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20"/>
      <c r="Q928" s="19"/>
      <c r="R928" s="19"/>
      <c r="S928" s="19"/>
      <c r="T928" s="19"/>
      <c r="U928" s="19"/>
      <c r="V928" s="19"/>
      <c r="W928" s="20"/>
      <c r="X928" s="19"/>
      <c r="Y928" s="21"/>
      <c r="Z928" s="21"/>
      <c r="AA928" s="21"/>
      <c r="AB928" s="21"/>
      <c r="AC928" s="20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</row>
    <row r="929" spans="1:44" ht="15.6" x14ac:dyDescent="0.3">
      <c r="A929" s="19"/>
      <c r="B929" s="19"/>
      <c r="C929" s="20"/>
      <c r="D929" s="19"/>
      <c r="E929" s="20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20"/>
      <c r="Q929" s="19"/>
      <c r="R929" s="19"/>
      <c r="S929" s="19"/>
      <c r="T929" s="19"/>
      <c r="U929" s="19"/>
      <c r="V929" s="19"/>
      <c r="W929" s="20"/>
      <c r="X929" s="19"/>
      <c r="Y929" s="21"/>
      <c r="Z929" s="21"/>
      <c r="AA929" s="21"/>
      <c r="AB929" s="21"/>
      <c r="AC929" s="20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</row>
    <row r="930" spans="1:44" ht="15.6" x14ac:dyDescent="0.3">
      <c r="A930" s="19"/>
      <c r="B930" s="19"/>
      <c r="C930" s="20"/>
      <c r="D930" s="19"/>
      <c r="E930" s="20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20"/>
      <c r="Q930" s="19"/>
      <c r="R930" s="19"/>
      <c r="S930" s="19"/>
      <c r="T930" s="19"/>
      <c r="U930" s="19"/>
      <c r="V930" s="19"/>
      <c r="W930" s="20"/>
      <c r="X930" s="19"/>
      <c r="Y930" s="21"/>
      <c r="Z930" s="21"/>
      <c r="AA930" s="21"/>
      <c r="AB930" s="21"/>
      <c r="AC930" s="20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</row>
    <row r="931" spans="1:44" ht="15.6" x14ac:dyDescent="0.3">
      <c r="A931" s="19"/>
      <c r="B931" s="19"/>
      <c r="C931" s="20"/>
      <c r="D931" s="19"/>
      <c r="E931" s="20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20"/>
      <c r="Q931" s="19"/>
      <c r="R931" s="19"/>
      <c r="S931" s="19"/>
      <c r="T931" s="19"/>
      <c r="U931" s="19"/>
      <c r="V931" s="19"/>
      <c r="W931" s="20"/>
      <c r="X931" s="19"/>
      <c r="Y931" s="21"/>
      <c r="Z931" s="21"/>
      <c r="AA931" s="21"/>
      <c r="AB931" s="21"/>
      <c r="AC931" s="20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</row>
    <row r="932" spans="1:44" ht="15.6" x14ac:dyDescent="0.3">
      <c r="A932" s="19"/>
      <c r="B932" s="19"/>
      <c r="C932" s="20"/>
      <c r="D932" s="19"/>
      <c r="E932" s="20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20"/>
      <c r="Q932" s="19"/>
      <c r="R932" s="19"/>
      <c r="S932" s="19"/>
      <c r="T932" s="19"/>
      <c r="U932" s="19"/>
      <c r="V932" s="19"/>
      <c r="W932" s="20"/>
      <c r="X932" s="19"/>
      <c r="Y932" s="21"/>
      <c r="Z932" s="21"/>
      <c r="AA932" s="21"/>
      <c r="AB932" s="21"/>
      <c r="AC932" s="20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</row>
    <row r="933" spans="1:44" ht="15.6" x14ac:dyDescent="0.3">
      <c r="A933" s="19"/>
      <c r="B933" s="19"/>
      <c r="C933" s="20"/>
      <c r="D933" s="19"/>
      <c r="E933" s="20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20"/>
      <c r="Q933" s="19"/>
      <c r="R933" s="19"/>
      <c r="S933" s="19"/>
      <c r="T933" s="19"/>
      <c r="U933" s="19"/>
      <c r="V933" s="19"/>
      <c r="W933" s="20"/>
      <c r="X933" s="19"/>
      <c r="Y933" s="21"/>
      <c r="Z933" s="21"/>
      <c r="AA933" s="21"/>
      <c r="AB933" s="21"/>
      <c r="AC933" s="20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</row>
    <row r="934" spans="1:44" ht="15.6" x14ac:dyDescent="0.3">
      <c r="A934" s="19"/>
      <c r="B934" s="19"/>
      <c r="C934" s="20"/>
      <c r="D934" s="19"/>
      <c r="E934" s="20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20"/>
      <c r="Q934" s="19"/>
      <c r="R934" s="19"/>
      <c r="S934" s="19"/>
      <c r="T934" s="19"/>
      <c r="U934" s="19"/>
      <c r="V934" s="19"/>
      <c r="W934" s="20"/>
      <c r="X934" s="19"/>
      <c r="Y934" s="21"/>
      <c r="Z934" s="21"/>
      <c r="AA934" s="21"/>
      <c r="AB934" s="21"/>
      <c r="AC934" s="20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</row>
    <row r="935" spans="1:44" ht="15.6" x14ac:dyDescent="0.3">
      <c r="A935" s="19"/>
      <c r="B935" s="19"/>
      <c r="C935" s="20"/>
      <c r="D935" s="19"/>
      <c r="E935" s="20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20"/>
      <c r="Q935" s="19"/>
      <c r="R935" s="19"/>
      <c r="S935" s="19"/>
      <c r="T935" s="19"/>
      <c r="U935" s="19"/>
      <c r="V935" s="19"/>
      <c r="W935" s="20"/>
      <c r="X935" s="19"/>
      <c r="Y935" s="21"/>
      <c r="Z935" s="21"/>
      <c r="AA935" s="21"/>
      <c r="AB935" s="21"/>
      <c r="AC935" s="20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</row>
    <row r="936" spans="1:44" ht="15.6" x14ac:dyDescent="0.3">
      <c r="A936" s="19"/>
      <c r="B936" s="19"/>
      <c r="C936" s="20"/>
      <c r="D936" s="19"/>
      <c r="E936" s="20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20"/>
      <c r="Q936" s="19"/>
      <c r="R936" s="19"/>
      <c r="S936" s="19"/>
      <c r="T936" s="19"/>
      <c r="U936" s="19"/>
      <c r="V936" s="19"/>
      <c r="W936" s="20"/>
      <c r="X936" s="19"/>
      <c r="Y936" s="21"/>
      <c r="Z936" s="21"/>
      <c r="AA936" s="21"/>
      <c r="AB936" s="21"/>
      <c r="AC936" s="20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</row>
    <row r="937" spans="1:44" ht="15.6" x14ac:dyDescent="0.3">
      <c r="A937" s="19"/>
      <c r="B937" s="19"/>
      <c r="C937" s="20"/>
      <c r="D937" s="19"/>
      <c r="E937" s="20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20"/>
      <c r="Q937" s="19"/>
      <c r="R937" s="19"/>
      <c r="S937" s="19"/>
      <c r="T937" s="19"/>
      <c r="U937" s="19"/>
      <c r="V937" s="19"/>
      <c r="W937" s="20"/>
      <c r="X937" s="19"/>
      <c r="Y937" s="21"/>
      <c r="Z937" s="21"/>
      <c r="AA937" s="21"/>
      <c r="AB937" s="21"/>
      <c r="AC937" s="20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</row>
    <row r="938" spans="1:44" ht="15.6" x14ac:dyDescent="0.3">
      <c r="A938" s="19"/>
      <c r="B938" s="19"/>
      <c r="C938" s="20"/>
      <c r="D938" s="19"/>
      <c r="E938" s="20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20"/>
      <c r="Q938" s="19"/>
      <c r="R938" s="19"/>
      <c r="S938" s="19"/>
      <c r="T938" s="19"/>
      <c r="U938" s="19"/>
      <c r="V938" s="19"/>
      <c r="W938" s="20"/>
      <c r="X938" s="19"/>
      <c r="Y938" s="21"/>
      <c r="Z938" s="21"/>
      <c r="AA938" s="21"/>
      <c r="AB938" s="21"/>
      <c r="AC938" s="20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</row>
    <row r="939" spans="1:44" ht="15.6" x14ac:dyDescent="0.3">
      <c r="A939" s="19"/>
      <c r="B939" s="19"/>
      <c r="C939" s="20"/>
      <c r="D939" s="19"/>
      <c r="E939" s="20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20"/>
      <c r="Q939" s="19"/>
      <c r="R939" s="19"/>
      <c r="S939" s="19"/>
      <c r="T939" s="19"/>
      <c r="U939" s="19"/>
      <c r="V939" s="19"/>
      <c r="W939" s="20"/>
      <c r="X939" s="19"/>
      <c r="Y939" s="21"/>
      <c r="Z939" s="21"/>
      <c r="AA939" s="21"/>
      <c r="AB939" s="21"/>
      <c r="AC939" s="20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</row>
    <row r="940" spans="1:44" ht="15.6" x14ac:dyDescent="0.3">
      <c r="A940" s="19"/>
      <c r="B940" s="19"/>
      <c r="C940" s="20"/>
      <c r="D940" s="19"/>
      <c r="E940" s="20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20"/>
      <c r="Q940" s="19"/>
      <c r="R940" s="19"/>
      <c r="S940" s="19"/>
      <c r="T940" s="19"/>
      <c r="U940" s="19"/>
      <c r="V940" s="19"/>
      <c r="W940" s="20"/>
      <c r="X940" s="19"/>
      <c r="Y940" s="21"/>
      <c r="Z940" s="21"/>
      <c r="AA940" s="21"/>
      <c r="AB940" s="21"/>
      <c r="AC940" s="20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</row>
    <row r="941" spans="1:44" ht="15.6" x14ac:dyDescent="0.3">
      <c r="A941" s="19"/>
      <c r="B941" s="19"/>
      <c r="C941" s="20"/>
      <c r="D941" s="19"/>
      <c r="E941" s="20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20"/>
      <c r="Q941" s="19"/>
      <c r="R941" s="19"/>
      <c r="S941" s="19"/>
      <c r="T941" s="19"/>
      <c r="U941" s="19"/>
      <c r="V941" s="19"/>
      <c r="W941" s="20"/>
      <c r="X941" s="19"/>
      <c r="Y941" s="21"/>
      <c r="Z941" s="21"/>
      <c r="AA941" s="21"/>
      <c r="AB941" s="21"/>
      <c r="AC941" s="20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</row>
    <row r="942" spans="1:44" ht="15.6" x14ac:dyDescent="0.3">
      <c r="A942" s="19"/>
      <c r="B942" s="19"/>
      <c r="C942" s="20"/>
      <c r="D942" s="19"/>
      <c r="E942" s="20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20"/>
      <c r="Q942" s="19"/>
      <c r="R942" s="19"/>
      <c r="S942" s="19"/>
      <c r="T942" s="19"/>
      <c r="U942" s="19"/>
      <c r="V942" s="19"/>
      <c r="W942" s="20"/>
      <c r="X942" s="19"/>
      <c r="Y942" s="21"/>
      <c r="Z942" s="21"/>
      <c r="AA942" s="21"/>
      <c r="AB942" s="21"/>
      <c r="AC942" s="20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</row>
    <row r="943" spans="1:44" ht="15.6" x14ac:dyDescent="0.3">
      <c r="A943" s="19"/>
      <c r="B943" s="19"/>
      <c r="C943" s="20"/>
      <c r="D943" s="19"/>
      <c r="E943" s="20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20"/>
      <c r="Q943" s="19"/>
      <c r="R943" s="19"/>
      <c r="S943" s="19"/>
      <c r="T943" s="19"/>
      <c r="U943" s="19"/>
      <c r="V943" s="19"/>
      <c r="W943" s="20"/>
      <c r="X943" s="19"/>
      <c r="Y943" s="21"/>
      <c r="Z943" s="21"/>
      <c r="AA943" s="21"/>
      <c r="AB943" s="21"/>
      <c r="AC943" s="20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</row>
    <row r="944" spans="1:44" ht="15.6" x14ac:dyDescent="0.3">
      <c r="A944" s="19"/>
      <c r="B944" s="19"/>
      <c r="C944" s="20"/>
      <c r="D944" s="19"/>
      <c r="E944" s="20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20"/>
      <c r="Q944" s="19"/>
      <c r="R944" s="19"/>
      <c r="S944" s="19"/>
      <c r="T944" s="19"/>
      <c r="U944" s="19"/>
      <c r="V944" s="19"/>
      <c r="W944" s="20"/>
      <c r="X944" s="19"/>
      <c r="Y944" s="21"/>
      <c r="Z944" s="21"/>
      <c r="AA944" s="21"/>
      <c r="AB944" s="21"/>
      <c r="AC944" s="20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</row>
    <row r="945" spans="1:44" ht="15.6" x14ac:dyDescent="0.3">
      <c r="A945" s="19"/>
      <c r="B945" s="19"/>
      <c r="C945" s="20"/>
      <c r="D945" s="19"/>
      <c r="E945" s="20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20"/>
      <c r="Q945" s="19"/>
      <c r="R945" s="19"/>
      <c r="S945" s="19"/>
      <c r="T945" s="19"/>
      <c r="U945" s="19"/>
      <c r="V945" s="19"/>
      <c r="W945" s="20"/>
      <c r="X945" s="19"/>
      <c r="Y945" s="21"/>
      <c r="Z945" s="21"/>
      <c r="AA945" s="21"/>
      <c r="AB945" s="21"/>
      <c r="AC945" s="20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</row>
    <row r="946" spans="1:44" ht="15.6" x14ac:dyDescent="0.3">
      <c r="A946" s="19"/>
      <c r="B946" s="19"/>
      <c r="C946" s="20"/>
      <c r="D946" s="19"/>
      <c r="E946" s="20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20"/>
      <c r="Q946" s="19"/>
      <c r="R946" s="19"/>
      <c r="S946" s="19"/>
      <c r="T946" s="19"/>
      <c r="U946" s="19"/>
      <c r="V946" s="19"/>
      <c r="W946" s="20"/>
      <c r="X946" s="19"/>
      <c r="Y946" s="21"/>
      <c r="Z946" s="21"/>
      <c r="AA946" s="21"/>
      <c r="AB946" s="21"/>
      <c r="AC946" s="20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</row>
    <row r="947" spans="1:44" ht="15.6" x14ac:dyDescent="0.3">
      <c r="A947" s="19"/>
      <c r="B947" s="19"/>
      <c r="C947" s="20"/>
      <c r="D947" s="19"/>
      <c r="E947" s="20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20"/>
      <c r="Q947" s="19"/>
      <c r="R947" s="19"/>
      <c r="S947" s="19"/>
      <c r="T947" s="19"/>
      <c r="U947" s="19"/>
      <c r="V947" s="19"/>
      <c r="W947" s="20"/>
      <c r="X947" s="19"/>
      <c r="Y947" s="21"/>
      <c r="Z947" s="21"/>
      <c r="AA947" s="21"/>
      <c r="AB947" s="21"/>
      <c r="AC947" s="20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</row>
    <row r="948" spans="1:44" ht="15.6" x14ac:dyDescent="0.3">
      <c r="A948" s="19"/>
      <c r="B948" s="19"/>
      <c r="C948" s="20"/>
      <c r="D948" s="19"/>
      <c r="E948" s="20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20"/>
      <c r="Q948" s="19"/>
      <c r="R948" s="19"/>
      <c r="S948" s="19"/>
      <c r="T948" s="19"/>
      <c r="U948" s="19"/>
      <c r="V948" s="19"/>
      <c r="W948" s="20"/>
      <c r="X948" s="19"/>
      <c r="Y948" s="21"/>
      <c r="Z948" s="21"/>
      <c r="AA948" s="21"/>
      <c r="AB948" s="21"/>
      <c r="AC948" s="20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</row>
    <row r="949" spans="1:44" ht="15.6" x14ac:dyDescent="0.3">
      <c r="A949" s="19"/>
      <c r="B949" s="19"/>
      <c r="C949" s="20"/>
      <c r="D949" s="19"/>
      <c r="E949" s="20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20"/>
      <c r="Q949" s="19"/>
      <c r="R949" s="19"/>
      <c r="S949" s="19"/>
      <c r="T949" s="19"/>
      <c r="U949" s="19"/>
      <c r="V949" s="19"/>
      <c r="W949" s="20"/>
      <c r="X949" s="19"/>
      <c r="Y949" s="21"/>
      <c r="Z949" s="21"/>
      <c r="AA949" s="21"/>
      <c r="AB949" s="21"/>
      <c r="AC949" s="20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</row>
    <row r="950" spans="1:44" ht="15.6" x14ac:dyDescent="0.3">
      <c r="A950" s="19"/>
      <c r="B950" s="19"/>
      <c r="C950" s="20"/>
      <c r="D950" s="19"/>
      <c r="E950" s="20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20"/>
      <c r="Q950" s="19"/>
      <c r="R950" s="19"/>
      <c r="S950" s="19"/>
      <c r="T950" s="19"/>
      <c r="U950" s="19"/>
      <c r="V950" s="19"/>
      <c r="W950" s="20"/>
      <c r="X950" s="19"/>
      <c r="Y950" s="21"/>
      <c r="Z950" s="21"/>
      <c r="AA950" s="21"/>
      <c r="AB950" s="21"/>
      <c r="AC950" s="20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</row>
    <row r="951" spans="1:44" ht="15.6" x14ac:dyDescent="0.3">
      <c r="A951" s="19"/>
      <c r="B951" s="19"/>
      <c r="C951" s="20"/>
      <c r="D951" s="19"/>
      <c r="E951" s="20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20"/>
      <c r="Q951" s="19"/>
      <c r="R951" s="19"/>
      <c r="S951" s="19"/>
      <c r="T951" s="19"/>
      <c r="U951" s="19"/>
      <c r="V951" s="19"/>
      <c r="W951" s="20"/>
      <c r="X951" s="19"/>
      <c r="Y951" s="21"/>
      <c r="Z951" s="21"/>
      <c r="AA951" s="21"/>
      <c r="AB951" s="21"/>
      <c r="AC951" s="20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</row>
    <row r="952" spans="1:44" ht="15.6" x14ac:dyDescent="0.3">
      <c r="A952" s="19"/>
      <c r="B952" s="19"/>
      <c r="C952" s="20"/>
      <c r="D952" s="19"/>
      <c r="E952" s="20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20"/>
      <c r="Q952" s="19"/>
      <c r="R952" s="19"/>
      <c r="S952" s="19"/>
      <c r="T952" s="19"/>
      <c r="U952" s="19"/>
      <c r="V952" s="19"/>
      <c r="W952" s="20"/>
      <c r="X952" s="19"/>
      <c r="Y952" s="21"/>
      <c r="Z952" s="21"/>
      <c r="AA952" s="21"/>
      <c r="AB952" s="21"/>
      <c r="AC952" s="20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</row>
    <row r="953" spans="1:44" ht="15.6" x14ac:dyDescent="0.3">
      <c r="A953" s="19"/>
      <c r="B953" s="19"/>
      <c r="C953" s="20"/>
      <c r="D953" s="19"/>
      <c r="E953" s="20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20"/>
      <c r="Q953" s="19"/>
      <c r="R953" s="19"/>
      <c r="S953" s="19"/>
      <c r="T953" s="19"/>
      <c r="U953" s="19"/>
      <c r="V953" s="19"/>
      <c r="W953" s="20"/>
      <c r="X953" s="19"/>
      <c r="Y953" s="21"/>
      <c r="Z953" s="21"/>
      <c r="AA953" s="21"/>
      <c r="AB953" s="21"/>
      <c r="AC953" s="20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</row>
    <row r="954" spans="1:44" ht="15.6" x14ac:dyDescent="0.3">
      <c r="A954" s="19"/>
      <c r="B954" s="19"/>
      <c r="C954" s="20"/>
      <c r="D954" s="19"/>
      <c r="E954" s="20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20"/>
      <c r="Q954" s="19"/>
      <c r="R954" s="19"/>
      <c r="S954" s="19"/>
      <c r="T954" s="19"/>
      <c r="U954" s="19"/>
      <c r="V954" s="19"/>
      <c r="W954" s="20"/>
      <c r="X954" s="19"/>
      <c r="Y954" s="21"/>
      <c r="Z954" s="21"/>
      <c r="AA954" s="21"/>
      <c r="AB954" s="21"/>
      <c r="AC954" s="20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</row>
    <row r="955" spans="1:44" ht="15.6" x14ac:dyDescent="0.3">
      <c r="A955" s="19"/>
      <c r="B955" s="19"/>
      <c r="C955" s="20"/>
      <c r="D955" s="19"/>
      <c r="E955" s="20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20"/>
      <c r="Q955" s="19"/>
      <c r="R955" s="19"/>
      <c r="S955" s="19"/>
      <c r="T955" s="19"/>
      <c r="U955" s="19"/>
      <c r="V955" s="19"/>
      <c r="W955" s="20"/>
      <c r="X955" s="19"/>
      <c r="Y955" s="21"/>
      <c r="Z955" s="21"/>
      <c r="AA955" s="21"/>
      <c r="AB955" s="21"/>
      <c r="AC955" s="20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</row>
    <row r="956" spans="1:44" ht="15.6" x14ac:dyDescent="0.3">
      <c r="A956" s="19"/>
      <c r="B956" s="19"/>
      <c r="C956" s="20"/>
      <c r="D956" s="19"/>
      <c r="E956" s="20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20"/>
      <c r="Q956" s="19"/>
      <c r="R956" s="19"/>
      <c r="S956" s="19"/>
      <c r="T956" s="19"/>
      <c r="U956" s="19"/>
      <c r="V956" s="19"/>
      <c r="W956" s="20"/>
      <c r="X956" s="19"/>
      <c r="Y956" s="21"/>
      <c r="Z956" s="21"/>
      <c r="AA956" s="21"/>
      <c r="AB956" s="21"/>
      <c r="AC956" s="20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</row>
    <row r="957" spans="1:44" ht="15.6" x14ac:dyDescent="0.3">
      <c r="A957" s="19"/>
      <c r="B957" s="19"/>
      <c r="C957" s="20"/>
      <c r="D957" s="19"/>
      <c r="E957" s="20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20"/>
      <c r="Q957" s="19"/>
      <c r="R957" s="19"/>
      <c r="S957" s="19"/>
      <c r="T957" s="19"/>
      <c r="U957" s="19"/>
      <c r="V957" s="19"/>
      <c r="W957" s="20"/>
      <c r="X957" s="19"/>
      <c r="Y957" s="21"/>
      <c r="Z957" s="21"/>
      <c r="AA957" s="21"/>
      <c r="AB957" s="21"/>
      <c r="AC957" s="20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</row>
    <row r="958" spans="1:44" ht="15.6" x14ac:dyDescent="0.3">
      <c r="A958" s="19"/>
      <c r="B958" s="19"/>
      <c r="C958" s="20"/>
      <c r="D958" s="19"/>
      <c r="E958" s="20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20"/>
      <c r="Q958" s="19"/>
      <c r="R958" s="19"/>
      <c r="S958" s="19"/>
      <c r="T958" s="19"/>
      <c r="U958" s="19"/>
      <c r="V958" s="19"/>
      <c r="W958" s="20"/>
      <c r="X958" s="19"/>
      <c r="Y958" s="21"/>
      <c r="Z958" s="21"/>
      <c r="AA958" s="21"/>
      <c r="AB958" s="21"/>
      <c r="AC958" s="20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</row>
    <row r="959" spans="1:44" ht="15.6" x14ac:dyDescent="0.3">
      <c r="A959" s="19"/>
      <c r="B959" s="19"/>
      <c r="C959" s="20"/>
      <c r="D959" s="19"/>
      <c r="E959" s="20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20"/>
      <c r="Q959" s="19"/>
      <c r="R959" s="19"/>
      <c r="S959" s="19"/>
      <c r="T959" s="19"/>
      <c r="U959" s="19"/>
      <c r="V959" s="19"/>
      <c r="W959" s="20"/>
      <c r="X959" s="19"/>
      <c r="Y959" s="21"/>
      <c r="Z959" s="21"/>
      <c r="AA959" s="21"/>
      <c r="AB959" s="21"/>
      <c r="AC959" s="20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</row>
    <row r="960" spans="1:44" ht="15.6" x14ac:dyDescent="0.3">
      <c r="A960" s="19"/>
      <c r="B960" s="19"/>
      <c r="C960" s="20"/>
      <c r="D960" s="19"/>
      <c r="E960" s="20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20"/>
      <c r="Q960" s="19"/>
      <c r="R960" s="19"/>
      <c r="S960" s="19"/>
      <c r="T960" s="19"/>
      <c r="U960" s="19"/>
      <c r="V960" s="19"/>
      <c r="W960" s="20"/>
      <c r="X960" s="19"/>
      <c r="Y960" s="21"/>
      <c r="Z960" s="21"/>
      <c r="AA960" s="21"/>
      <c r="AB960" s="21"/>
      <c r="AC960" s="20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</row>
    <row r="961" spans="1:44" ht="15.6" x14ac:dyDescent="0.3">
      <c r="A961" s="19"/>
      <c r="B961" s="19"/>
      <c r="C961" s="20"/>
      <c r="D961" s="19"/>
      <c r="E961" s="20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20"/>
      <c r="Q961" s="19"/>
      <c r="R961" s="19"/>
      <c r="S961" s="19"/>
      <c r="T961" s="19"/>
      <c r="U961" s="19"/>
      <c r="V961" s="19"/>
      <c r="W961" s="20"/>
      <c r="X961" s="19"/>
      <c r="Y961" s="21"/>
      <c r="Z961" s="21"/>
      <c r="AA961" s="21"/>
      <c r="AB961" s="21"/>
      <c r="AC961" s="20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</row>
    <row r="962" spans="1:44" ht="15.6" x14ac:dyDescent="0.3">
      <c r="A962" s="19"/>
      <c r="B962" s="19"/>
      <c r="C962" s="20"/>
      <c r="D962" s="19"/>
      <c r="E962" s="20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20"/>
      <c r="Q962" s="19"/>
      <c r="R962" s="19"/>
      <c r="S962" s="19"/>
      <c r="T962" s="19"/>
      <c r="U962" s="19"/>
      <c r="V962" s="19"/>
      <c r="W962" s="20"/>
      <c r="X962" s="19"/>
      <c r="Y962" s="21"/>
      <c r="Z962" s="21"/>
      <c r="AA962" s="21"/>
      <c r="AB962" s="21"/>
      <c r="AC962" s="20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</row>
    <row r="963" spans="1:44" ht="15.6" x14ac:dyDescent="0.3">
      <c r="A963" s="19"/>
      <c r="B963" s="19"/>
      <c r="C963" s="20"/>
      <c r="D963" s="19"/>
      <c r="E963" s="20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20"/>
      <c r="Q963" s="19"/>
      <c r="R963" s="19"/>
      <c r="S963" s="19"/>
      <c r="T963" s="19"/>
      <c r="U963" s="19"/>
      <c r="V963" s="19"/>
      <c r="W963" s="20"/>
      <c r="X963" s="19"/>
      <c r="Y963" s="21"/>
      <c r="Z963" s="21"/>
      <c r="AA963" s="21"/>
      <c r="AB963" s="21"/>
      <c r="AC963" s="20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</row>
    <row r="964" spans="1:44" ht="15.6" x14ac:dyDescent="0.3">
      <c r="A964" s="19"/>
      <c r="B964" s="19"/>
      <c r="C964" s="20"/>
      <c r="D964" s="19"/>
      <c r="E964" s="20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20"/>
      <c r="Q964" s="19"/>
      <c r="R964" s="19"/>
      <c r="S964" s="19"/>
      <c r="T964" s="19"/>
      <c r="U964" s="19"/>
      <c r="V964" s="19"/>
      <c r="W964" s="20"/>
      <c r="X964" s="19"/>
      <c r="Y964" s="21"/>
      <c r="Z964" s="21"/>
      <c r="AA964" s="21"/>
      <c r="AB964" s="21"/>
      <c r="AC964" s="20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</row>
    <row r="965" spans="1:44" ht="15.6" x14ac:dyDescent="0.3">
      <c r="A965" s="19"/>
      <c r="B965" s="19"/>
      <c r="C965" s="20"/>
      <c r="D965" s="19"/>
      <c r="E965" s="20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20"/>
      <c r="Q965" s="19"/>
      <c r="R965" s="19"/>
      <c r="S965" s="19"/>
      <c r="T965" s="19"/>
      <c r="U965" s="19"/>
      <c r="V965" s="19"/>
      <c r="W965" s="20"/>
      <c r="X965" s="19"/>
      <c r="Y965" s="21"/>
      <c r="Z965" s="21"/>
      <c r="AA965" s="21"/>
      <c r="AB965" s="21"/>
      <c r="AC965" s="20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</row>
    <row r="966" spans="1:44" ht="15.6" x14ac:dyDescent="0.3">
      <c r="A966" s="19"/>
      <c r="B966" s="19"/>
      <c r="C966" s="20"/>
      <c r="D966" s="19"/>
      <c r="E966" s="20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20"/>
      <c r="Q966" s="19"/>
      <c r="R966" s="19"/>
      <c r="S966" s="19"/>
      <c r="T966" s="19"/>
      <c r="U966" s="19"/>
      <c r="V966" s="19"/>
      <c r="W966" s="20"/>
      <c r="X966" s="19"/>
      <c r="Y966" s="21"/>
      <c r="Z966" s="21"/>
      <c r="AA966" s="21"/>
      <c r="AB966" s="21"/>
      <c r="AC966" s="20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</row>
    <row r="967" spans="1:44" ht="15.6" x14ac:dyDescent="0.3">
      <c r="A967" s="19"/>
      <c r="B967" s="19"/>
      <c r="C967" s="20"/>
      <c r="D967" s="19"/>
      <c r="E967" s="20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20"/>
      <c r="Q967" s="19"/>
      <c r="R967" s="19"/>
      <c r="S967" s="19"/>
      <c r="T967" s="19"/>
      <c r="U967" s="19"/>
      <c r="V967" s="19"/>
      <c r="W967" s="20"/>
      <c r="X967" s="19"/>
      <c r="Y967" s="21"/>
      <c r="Z967" s="21"/>
      <c r="AA967" s="21"/>
      <c r="AB967" s="21"/>
      <c r="AC967" s="20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</row>
    <row r="968" spans="1:44" ht="15.6" x14ac:dyDescent="0.3">
      <c r="A968" s="19"/>
      <c r="B968" s="19"/>
      <c r="C968" s="20"/>
      <c r="D968" s="19"/>
      <c r="E968" s="20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20"/>
      <c r="Q968" s="19"/>
      <c r="R968" s="19"/>
      <c r="S968" s="19"/>
      <c r="T968" s="19"/>
      <c r="U968" s="19"/>
      <c r="V968" s="19"/>
      <c r="W968" s="20"/>
      <c r="X968" s="19"/>
      <c r="Y968" s="21"/>
      <c r="Z968" s="21"/>
      <c r="AA968" s="21"/>
      <c r="AB968" s="21"/>
      <c r="AC968" s="20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</row>
    <row r="969" spans="1:44" ht="15.6" x14ac:dyDescent="0.3">
      <c r="A969" s="19"/>
      <c r="B969" s="19"/>
      <c r="C969" s="20"/>
      <c r="D969" s="19"/>
      <c r="E969" s="20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20"/>
      <c r="Q969" s="19"/>
      <c r="R969" s="19"/>
      <c r="S969" s="19"/>
      <c r="T969" s="19"/>
      <c r="U969" s="19"/>
      <c r="V969" s="19"/>
      <c r="W969" s="20"/>
      <c r="X969" s="19"/>
      <c r="Y969" s="21"/>
      <c r="Z969" s="21"/>
      <c r="AA969" s="21"/>
      <c r="AB969" s="21"/>
      <c r="AC969" s="20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</row>
    <row r="970" spans="1:44" ht="15.6" x14ac:dyDescent="0.3">
      <c r="A970" s="19"/>
      <c r="B970" s="19"/>
      <c r="C970" s="20"/>
      <c r="D970" s="19"/>
      <c r="E970" s="20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20"/>
      <c r="Q970" s="19"/>
      <c r="R970" s="19"/>
      <c r="S970" s="19"/>
      <c r="T970" s="19"/>
      <c r="U970" s="19"/>
      <c r="V970" s="19"/>
      <c r="W970" s="20"/>
      <c r="X970" s="19"/>
      <c r="Y970" s="21"/>
      <c r="Z970" s="21"/>
      <c r="AA970" s="21"/>
      <c r="AB970" s="21"/>
      <c r="AC970" s="20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</row>
    <row r="971" spans="1:44" ht="15.6" x14ac:dyDescent="0.3">
      <c r="A971" s="19"/>
      <c r="B971" s="19"/>
      <c r="C971" s="20"/>
      <c r="D971" s="19"/>
      <c r="E971" s="20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20"/>
      <c r="Q971" s="19"/>
      <c r="R971" s="19"/>
      <c r="S971" s="19"/>
      <c r="T971" s="19"/>
      <c r="U971" s="19"/>
      <c r="V971" s="19"/>
      <c r="W971" s="20"/>
      <c r="X971" s="19"/>
      <c r="Y971" s="21"/>
      <c r="Z971" s="21"/>
      <c r="AA971" s="21"/>
      <c r="AB971" s="21"/>
      <c r="AC971" s="20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</row>
    <row r="972" spans="1:44" ht="15.6" x14ac:dyDescent="0.3">
      <c r="A972" s="19"/>
      <c r="B972" s="19"/>
      <c r="C972" s="20"/>
      <c r="D972" s="19"/>
      <c r="E972" s="20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20"/>
      <c r="Q972" s="19"/>
      <c r="R972" s="19"/>
      <c r="S972" s="19"/>
      <c r="T972" s="19"/>
      <c r="U972" s="19"/>
      <c r="V972" s="19"/>
      <c r="W972" s="20"/>
      <c r="X972" s="19"/>
      <c r="Y972" s="21"/>
      <c r="Z972" s="21"/>
      <c r="AA972" s="21"/>
      <c r="AB972" s="21"/>
      <c r="AC972" s="20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</row>
    <row r="973" spans="1:44" ht="15.6" x14ac:dyDescent="0.3">
      <c r="A973" s="19"/>
      <c r="B973" s="19"/>
      <c r="C973" s="20"/>
      <c r="D973" s="19"/>
      <c r="E973" s="20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20"/>
      <c r="Q973" s="19"/>
      <c r="R973" s="19"/>
      <c r="S973" s="19"/>
      <c r="T973" s="19"/>
      <c r="U973" s="19"/>
      <c r="V973" s="19"/>
      <c r="W973" s="20"/>
      <c r="X973" s="19"/>
      <c r="Y973" s="21"/>
      <c r="Z973" s="21"/>
      <c r="AA973" s="21"/>
      <c r="AB973" s="21"/>
      <c r="AC973" s="20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</row>
    <row r="974" spans="1:44" ht="15.6" x14ac:dyDescent="0.3">
      <c r="A974" s="19"/>
      <c r="B974" s="19"/>
      <c r="C974" s="20"/>
      <c r="D974" s="19"/>
      <c r="E974" s="20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20"/>
      <c r="Q974" s="19"/>
      <c r="R974" s="19"/>
      <c r="S974" s="19"/>
      <c r="T974" s="19"/>
      <c r="U974" s="19"/>
      <c r="V974" s="19"/>
      <c r="W974" s="20"/>
      <c r="X974" s="19"/>
      <c r="Y974" s="21"/>
      <c r="Z974" s="21"/>
      <c r="AA974" s="21"/>
      <c r="AB974" s="21"/>
      <c r="AC974" s="20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</row>
    <row r="975" spans="1:44" ht="15.6" x14ac:dyDescent="0.3">
      <c r="A975" s="19"/>
      <c r="B975" s="19"/>
      <c r="C975" s="20"/>
      <c r="D975" s="19"/>
      <c r="E975" s="20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20"/>
      <c r="Q975" s="19"/>
      <c r="R975" s="19"/>
      <c r="S975" s="19"/>
      <c r="T975" s="19"/>
      <c r="U975" s="19"/>
      <c r="V975" s="19"/>
      <c r="W975" s="20"/>
      <c r="X975" s="19"/>
      <c r="Y975" s="21"/>
      <c r="Z975" s="21"/>
      <c r="AA975" s="21"/>
      <c r="AB975" s="21"/>
      <c r="AC975" s="20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</row>
    <row r="976" spans="1:44" ht="15.6" x14ac:dyDescent="0.3">
      <c r="A976" s="19"/>
      <c r="B976" s="19"/>
      <c r="C976" s="20"/>
      <c r="D976" s="19"/>
      <c r="E976" s="20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20"/>
      <c r="Q976" s="19"/>
      <c r="R976" s="19"/>
      <c r="S976" s="19"/>
      <c r="T976" s="19"/>
      <c r="U976" s="19"/>
      <c r="V976" s="19"/>
      <c r="W976" s="20"/>
      <c r="X976" s="19"/>
      <c r="Y976" s="21"/>
      <c r="Z976" s="21"/>
      <c r="AA976" s="21"/>
      <c r="AB976" s="21"/>
      <c r="AC976" s="20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</row>
    <row r="977" spans="1:44" ht="15.6" x14ac:dyDescent="0.3">
      <c r="A977" s="19"/>
      <c r="B977" s="19"/>
      <c r="C977" s="20"/>
      <c r="D977" s="19"/>
      <c r="E977" s="20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20"/>
      <c r="Q977" s="19"/>
      <c r="R977" s="19"/>
      <c r="S977" s="19"/>
      <c r="T977" s="19"/>
      <c r="U977" s="19"/>
      <c r="V977" s="19"/>
      <c r="W977" s="20"/>
      <c r="X977" s="19"/>
      <c r="Y977" s="21"/>
      <c r="Z977" s="21"/>
      <c r="AA977" s="21"/>
      <c r="AB977" s="21"/>
      <c r="AC977" s="20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</row>
    <row r="978" spans="1:44" ht="15.6" x14ac:dyDescent="0.3">
      <c r="A978" s="19"/>
      <c r="B978" s="19"/>
      <c r="C978" s="20"/>
      <c r="D978" s="19"/>
      <c r="E978" s="20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20"/>
      <c r="Q978" s="19"/>
      <c r="R978" s="19"/>
      <c r="S978" s="19"/>
      <c r="T978" s="19"/>
      <c r="U978" s="19"/>
      <c r="V978" s="19"/>
      <c r="W978" s="20"/>
      <c r="X978" s="19"/>
      <c r="Y978" s="21"/>
      <c r="Z978" s="21"/>
      <c r="AA978" s="21"/>
      <c r="AB978" s="21"/>
      <c r="AC978" s="20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</row>
    <row r="979" spans="1:44" ht="15.6" x14ac:dyDescent="0.3">
      <c r="A979" s="19"/>
      <c r="B979" s="19"/>
      <c r="C979" s="20"/>
      <c r="D979" s="19"/>
      <c r="E979" s="20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20"/>
      <c r="Q979" s="19"/>
      <c r="R979" s="19"/>
      <c r="S979" s="19"/>
      <c r="T979" s="19"/>
      <c r="U979" s="19"/>
      <c r="V979" s="19"/>
      <c r="W979" s="20"/>
      <c r="X979" s="19"/>
      <c r="Y979" s="21"/>
      <c r="Z979" s="21"/>
      <c r="AA979" s="21"/>
      <c r="AB979" s="21"/>
      <c r="AC979" s="20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</row>
    <row r="980" spans="1:44" ht="15.6" x14ac:dyDescent="0.3">
      <c r="A980" s="19"/>
      <c r="B980" s="19"/>
      <c r="C980" s="20"/>
      <c r="D980" s="19"/>
      <c r="E980" s="20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20"/>
      <c r="Q980" s="19"/>
      <c r="R980" s="19"/>
      <c r="S980" s="19"/>
      <c r="T980" s="19"/>
      <c r="U980" s="19"/>
      <c r="V980" s="19"/>
      <c r="W980" s="20"/>
      <c r="X980" s="19"/>
      <c r="Y980" s="21"/>
      <c r="Z980" s="21"/>
      <c r="AA980" s="21"/>
      <c r="AB980" s="21"/>
      <c r="AC980" s="20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</row>
    <row r="981" spans="1:44" ht="15.6" x14ac:dyDescent="0.3">
      <c r="A981" s="19"/>
      <c r="B981" s="19"/>
      <c r="C981" s="20"/>
      <c r="D981" s="19"/>
      <c r="E981" s="20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20"/>
      <c r="Q981" s="19"/>
      <c r="R981" s="19"/>
      <c r="S981" s="19"/>
      <c r="T981" s="19"/>
      <c r="U981" s="19"/>
      <c r="V981" s="19"/>
      <c r="W981" s="20"/>
      <c r="X981" s="19"/>
      <c r="Y981" s="21"/>
      <c r="Z981" s="21"/>
      <c r="AA981" s="21"/>
      <c r="AB981" s="21"/>
      <c r="AC981" s="20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</row>
    <row r="982" spans="1:44" ht="15.6" x14ac:dyDescent="0.3">
      <c r="A982" s="19"/>
      <c r="B982" s="19"/>
      <c r="C982" s="20"/>
      <c r="D982" s="19"/>
      <c r="E982" s="20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20"/>
      <c r="Q982" s="19"/>
      <c r="R982" s="19"/>
      <c r="S982" s="19"/>
      <c r="T982" s="19"/>
      <c r="U982" s="19"/>
      <c r="V982" s="19"/>
      <c r="W982" s="20"/>
      <c r="X982" s="19"/>
      <c r="Y982" s="21"/>
      <c r="Z982" s="21"/>
      <c r="AA982" s="21"/>
      <c r="AB982" s="21"/>
      <c r="AC982" s="20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</row>
    <row r="983" spans="1:44" ht="15.6" x14ac:dyDescent="0.3">
      <c r="A983" s="19"/>
      <c r="B983" s="19"/>
      <c r="C983" s="20"/>
      <c r="D983" s="19"/>
      <c r="E983" s="20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20"/>
      <c r="Q983" s="19"/>
      <c r="R983" s="19"/>
      <c r="S983" s="19"/>
      <c r="T983" s="19"/>
      <c r="U983" s="19"/>
      <c r="V983" s="19"/>
      <c r="W983" s="20"/>
      <c r="X983" s="19"/>
      <c r="Y983" s="21"/>
      <c r="Z983" s="21"/>
      <c r="AA983" s="21"/>
      <c r="AB983" s="21"/>
      <c r="AC983" s="20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</row>
    <row r="984" spans="1:44" ht="15.6" x14ac:dyDescent="0.3">
      <c r="A984" s="19"/>
      <c r="B984" s="19"/>
      <c r="C984" s="20"/>
      <c r="D984" s="19"/>
      <c r="E984" s="20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20"/>
      <c r="Q984" s="19"/>
      <c r="R984" s="19"/>
      <c r="S984" s="19"/>
      <c r="T984" s="19"/>
      <c r="U984" s="19"/>
      <c r="V984" s="19"/>
      <c r="W984" s="20"/>
      <c r="X984" s="19"/>
      <c r="Y984" s="21"/>
      <c r="Z984" s="21"/>
      <c r="AA984" s="21"/>
      <c r="AB984" s="21"/>
      <c r="AC984" s="20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</row>
    <row r="985" spans="1:44" ht="15.6" x14ac:dyDescent="0.3">
      <c r="A985" s="19"/>
      <c r="B985" s="19"/>
      <c r="C985" s="20"/>
      <c r="D985" s="19"/>
      <c r="E985" s="20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20"/>
      <c r="Q985" s="19"/>
      <c r="R985" s="19"/>
      <c r="S985" s="19"/>
      <c r="T985" s="19"/>
      <c r="U985" s="19"/>
      <c r="V985" s="19"/>
      <c r="W985" s="20"/>
      <c r="X985" s="19"/>
      <c r="Y985" s="21"/>
      <c r="Z985" s="21"/>
      <c r="AA985" s="21"/>
      <c r="AB985" s="21"/>
      <c r="AC985" s="20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</row>
    <row r="986" spans="1:44" ht="15.6" x14ac:dyDescent="0.3">
      <c r="A986" s="19"/>
      <c r="B986" s="19"/>
      <c r="C986" s="20"/>
      <c r="D986" s="19"/>
      <c r="E986" s="20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20"/>
      <c r="Q986" s="19"/>
      <c r="R986" s="19"/>
      <c r="S986" s="19"/>
      <c r="T986" s="19"/>
      <c r="U986" s="19"/>
      <c r="V986" s="19"/>
      <c r="W986" s="20"/>
      <c r="X986" s="19"/>
      <c r="Y986" s="21"/>
      <c r="Z986" s="21"/>
      <c r="AA986" s="21"/>
      <c r="AB986" s="21"/>
      <c r="AC986" s="20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</row>
    <row r="987" spans="1:44" ht="15.6" x14ac:dyDescent="0.3">
      <c r="A987" s="19"/>
      <c r="B987" s="19"/>
      <c r="C987" s="20"/>
      <c r="D987" s="19"/>
      <c r="E987" s="20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20"/>
      <c r="Q987" s="19"/>
      <c r="R987" s="19"/>
      <c r="S987" s="19"/>
      <c r="T987" s="19"/>
      <c r="U987" s="19"/>
      <c r="V987" s="19"/>
      <c r="W987" s="20"/>
      <c r="X987" s="19"/>
      <c r="Y987" s="21"/>
      <c r="Z987" s="21"/>
      <c r="AA987" s="21"/>
      <c r="AB987" s="21"/>
      <c r="AC987" s="20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</row>
    <row r="988" spans="1:44" ht="15.6" x14ac:dyDescent="0.3">
      <c r="A988" s="19"/>
      <c r="B988" s="19"/>
      <c r="C988" s="20"/>
      <c r="D988" s="19"/>
      <c r="E988" s="20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20"/>
      <c r="Q988" s="19"/>
      <c r="R988" s="19"/>
      <c r="S988" s="19"/>
      <c r="T988" s="19"/>
      <c r="U988" s="19"/>
      <c r="V988" s="19"/>
      <c r="W988" s="20"/>
      <c r="X988" s="19"/>
      <c r="Y988" s="21"/>
      <c r="Z988" s="21"/>
      <c r="AA988" s="21"/>
      <c r="AB988" s="21"/>
      <c r="AC988" s="20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</row>
    <row r="989" spans="1:44" ht="15.6" x14ac:dyDescent="0.3">
      <c r="A989" s="19"/>
      <c r="B989" s="19"/>
      <c r="C989" s="20"/>
      <c r="D989" s="19"/>
      <c r="E989" s="20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20"/>
      <c r="Q989" s="19"/>
      <c r="R989" s="19"/>
      <c r="S989" s="19"/>
      <c r="T989" s="19"/>
      <c r="U989" s="19"/>
      <c r="V989" s="19"/>
      <c r="W989" s="20"/>
      <c r="X989" s="19"/>
      <c r="Y989" s="21"/>
      <c r="Z989" s="21"/>
      <c r="AA989" s="21"/>
      <c r="AB989" s="21"/>
      <c r="AC989" s="20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</row>
    <row r="990" spans="1:44" ht="15.6" x14ac:dyDescent="0.3">
      <c r="A990" s="19"/>
      <c r="B990" s="19"/>
      <c r="C990" s="20"/>
      <c r="D990" s="19"/>
      <c r="E990" s="20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20"/>
      <c r="Q990" s="19"/>
      <c r="R990" s="19"/>
      <c r="S990" s="19"/>
      <c r="T990" s="19"/>
      <c r="U990" s="19"/>
      <c r="V990" s="19"/>
      <c r="W990" s="20"/>
      <c r="X990" s="19"/>
      <c r="Y990" s="21"/>
      <c r="Z990" s="21"/>
      <c r="AA990" s="21"/>
      <c r="AB990" s="21"/>
      <c r="AC990" s="20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</row>
    <row r="991" spans="1:44" ht="15.6" x14ac:dyDescent="0.3">
      <c r="A991" s="19"/>
      <c r="B991" s="19"/>
      <c r="C991" s="20"/>
      <c r="D991" s="19"/>
      <c r="E991" s="20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20"/>
      <c r="Q991" s="19"/>
      <c r="R991" s="19"/>
      <c r="S991" s="19"/>
      <c r="T991" s="19"/>
      <c r="U991" s="19"/>
      <c r="V991" s="19"/>
      <c r="W991" s="20"/>
      <c r="X991" s="19"/>
      <c r="Y991" s="21"/>
      <c r="Z991" s="21"/>
      <c r="AA991" s="21"/>
      <c r="AB991" s="21"/>
      <c r="AC991" s="20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</row>
    <row r="992" spans="1:44" ht="15.6" x14ac:dyDescent="0.3">
      <c r="A992" s="19"/>
      <c r="B992" s="19"/>
      <c r="C992" s="20"/>
      <c r="D992" s="19"/>
      <c r="E992" s="20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20"/>
      <c r="Q992" s="19"/>
      <c r="R992" s="19"/>
      <c r="S992" s="19"/>
      <c r="T992" s="19"/>
      <c r="U992" s="19"/>
      <c r="V992" s="19"/>
      <c r="W992" s="20"/>
      <c r="X992" s="19"/>
      <c r="Y992" s="21"/>
      <c r="Z992" s="21"/>
      <c r="AA992" s="21"/>
      <c r="AB992" s="21"/>
      <c r="AC992" s="20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</row>
    <row r="993" spans="1:44" ht="15.6" x14ac:dyDescent="0.3">
      <c r="A993" s="19"/>
      <c r="B993" s="19"/>
      <c r="C993" s="20"/>
      <c r="D993" s="19"/>
      <c r="E993" s="20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20"/>
      <c r="Q993" s="19"/>
      <c r="R993" s="19"/>
      <c r="S993" s="19"/>
      <c r="T993" s="19"/>
      <c r="U993" s="19"/>
      <c r="V993" s="19"/>
      <c r="W993" s="20"/>
      <c r="X993" s="19"/>
      <c r="Y993" s="21"/>
      <c r="Z993" s="21"/>
      <c r="AA993" s="21"/>
      <c r="AB993" s="21"/>
      <c r="AC993" s="20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</row>
    <row r="994" spans="1:44" ht="15.6" x14ac:dyDescent="0.3">
      <c r="A994" s="19"/>
      <c r="B994" s="19"/>
      <c r="C994" s="20"/>
      <c r="D994" s="19"/>
      <c r="E994" s="20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20"/>
      <c r="Q994" s="19"/>
      <c r="R994" s="19"/>
      <c r="S994" s="19"/>
      <c r="T994" s="19"/>
      <c r="U994" s="19"/>
      <c r="V994" s="19"/>
      <c r="W994" s="20"/>
      <c r="X994" s="19"/>
      <c r="Y994" s="21"/>
      <c r="Z994" s="21"/>
      <c r="AA994" s="21"/>
      <c r="AB994" s="21"/>
      <c r="AC994" s="20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</row>
    <row r="995" spans="1:44" ht="15.6" x14ac:dyDescent="0.3">
      <c r="A995" s="19"/>
      <c r="B995" s="19"/>
      <c r="C995" s="20"/>
      <c r="D995" s="19"/>
      <c r="E995" s="20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20"/>
      <c r="Q995" s="19"/>
      <c r="R995" s="19"/>
      <c r="S995" s="19"/>
      <c r="T995" s="19"/>
      <c r="U995" s="19"/>
      <c r="V995" s="19"/>
      <c r="W995" s="20"/>
      <c r="X995" s="19"/>
      <c r="Y995" s="21"/>
      <c r="Z995" s="21"/>
      <c r="AA995" s="21"/>
      <c r="AB995" s="21"/>
      <c r="AC995" s="20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</row>
    <row r="996" spans="1:44" ht="15.6" x14ac:dyDescent="0.3">
      <c r="A996" s="19"/>
      <c r="B996" s="19"/>
      <c r="C996" s="20"/>
      <c r="D996" s="19"/>
      <c r="E996" s="20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20"/>
      <c r="Q996" s="19"/>
      <c r="R996" s="19"/>
      <c r="S996" s="19"/>
      <c r="T996" s="19"/>
      <c r="U996" s="19"/>
      <c r="V996" s="19"/>
      <c r="W996" s="20"/>
      <c r="X996" s="19"/>
      <c r="Y996" s="21"/>
      <c r="Z996" s="21"/>
      <c r="AA996" s="21"/>
      <c r="AB996" s="21"/>
      <c r="AC996" s="20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</row>
    <row r="997" spans="1:44" ht="15.6" x14ac:dyDescent="0.3">
      <c r="A997" s="19"/>
      <c r="B997" s="19"/>
      <c r="C997" s="20"/>
      <c r="D997" s="19"/>
      <c r="E997" s="20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20"/>
      <c r="Q997" s="19"/>
      <c r="R997" s="19"/>
      <c r="S997" s="19"/>
      <c r="T997" s="19"/>
      <c r="U997" s="19"/>
      <c r="V997" s="19"/>
      <c r="W997" s="20"/>
      <c r="X997" s="19"/>
      <c r="Y997" s="21"/>
      <c r="Z997" s="21"/>
      <c r="AA997" s="21"/>
      <c r="AB997" s="21"/>
      <c r="AC997" s="20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</row>
    <row r="998" spans="1:44" ht="15.6" x14ac:dyDescent="0.3">
      <c r="A998" s="19"/>
      <c r="B998" s="19"/>
      <c r="C998" s="20"/>
      <c r="D998" s="19"/>
      <c r="E998" s="20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20"/>
      <c r="Q998" s="19"/>
      <c r="R998" s="19"/>
      <c r="S998" s="19"/>
      <c r="T998" s="19"/>
      <c r="U998" s="19"/>
      <c r="V998" s="19"/>
      <c r="W998" s="20"/>
      <c r="X998" s="19"/>
      <c r="Y998" s="21"/>
      <c r="Z998" s="21"/>
      <c r="AA998" s="21"/>
      <c r="AB998" s="21"/>
      <c r="AC998" s="20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</row>
    <row r="999" spans="1:44" ht="15.6" x14ac:dyDescent="0.3">
      <c r="A999" s="19"/>
      <c r="B999" s="19"/>
      <c r="C999" s="20"/>
      <c r="D999" s="19"/>
      <c r="E999" s="20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20"/>
      <c r="Q999" s="19"/>
      <c r="R999" s="19"/>
      <c r="S999" s="19"/>
      <c r="T999" s="19"/>
      <c r="U999" s="19"/>
      <c r="V999" s="19"/>
      <c r="W999" s="20"/>
      <c r="X999" s="19"/>
      <c r="Y999" s="21"/>
      <c r="Z999" s="21"/>
      <c r="AA999" s="21"/>
      <c r="AB999" s="21"/>
      <c r="AC999" s="20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</row>
    <row r="1000" spans="1:44" ht="15.6" x14ac:dyDescent="0.3">
      <c r="A1000" s="19"/>
      <c r="B1000" s="19"/>
      <c r="C1000" s="20"/>
      <c r="D1000" s="19"/>
      <c r="E1000" s="20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20"/>
      <c r="Q1000" s="19"/>
      <c r="R1000" s="19"/>
      <c r="S1000" s="19"/>
      <c r="T1000" s="19"/>
      <c r="U1000" s="19"/>
      <c r="V1000" s="19"/>
      <c r="W1000" s="20"/>
      <c r="X1000" s="19"/>
      <c r="Y1000" s="21"/>
      <c r="Z1000" s="21"/>
      <c r="AA1000" s="21"/>
      <c r="AB1000" s="21"/>
      <c r="AC1000" s="20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</row>
  </sheetData>
  <autoFilter ref="A1:AR91" xr:uid="{00000000-0009-0000-0000-000000000000}">
    <sortState xmlns:xlrd2="http://schemas.microsoft.com/office/spreadsheetml/2017/richdata2" ref="A2:AR91">
      <sortCondition ref="C1:C91"/>
    </sortState>
  </autoFilter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VCU_ESALQ_UNESPJAB_24_25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Silva Pavan</dc:creator>
  <cp:lastModifiedBy>FNU LNU</cp:lastModifiedBy>
  <dcterms:created xsi:type="dcterms:W3CDTF">2025-05-07T03:41:45Z</dcterms:created>
  <dcterms:modified xsi:type="dcterms:W3CDTF">2026-02-11T02:43:47Z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2025-05-07T03:42:29Z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50be606e-bf35-466e-a4e3-bc3816cc0fbf</vt:lpwstr>
  </property>
  <property fmtid="{D5CDD505-2E9C-101B-9397-08002B2CF9AE}" pid="7" name="MSIP_Label_defa4170-0d19-0005-0004-bc88714345d2_ActionId">
    <vt:lpwstr>954b371a-2ff7-4769-9cfd-b98d31fef5af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